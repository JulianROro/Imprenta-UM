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2d954fdf283f99a4/Documents/Docs Julian R/Imprenta UM/Flujo de Trabajo - Pedido y OT/"/>
    </mc:Choice>
  </mc:AlternateContent>
  <xr:revisionPtr revIDLastSave="707" documentId="14_{CBAD00F2-A785-4444-82FA-A1BE18900C3D}" xr6:coauthVersionLast="47" xr6:coauthVersionMax="47" xr10:uidLastSave="{1C4D3284-6D82-4D51-81BA-5BD4EE980765}"/>
  <bookViews>
    <workbookView xWindow="-110" yWindow="-110" windowWidth="19420" windowHeight="10300" firstSheet="1" activeTab="3" xr2:uid="{00000000-000D-0000-FFFF-FFFF00000000}"/>
  </bookViews>
  <sheets>
    <sheet name="00_Instrucciones" sheetId="1" r:id="rId1"/>
    <sheet name="01_Forms_Raw" sheetId="2" r:id="rId2"/>
    <sheet name="02_Base_Solicitudes" sheetId="3" r:id="rId3"/>
    <sheet name="03_OT_Maestra" sheetId="4" r:id="rId4"/>
    <sheet name="04_OT_Print001" sheetId="5" r:id="rId5"/>
    <sheet name="05_Catalogos" sheetId="6" r:id="rId6"/>
    <sheet name="06_Dashboar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 i="4" l="1"/>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 r="AK196" i="4"/>
  <c r="AK197" i="4"/>
  <c r="AK198" i="4"/>
  <c r="AK199" i="4"/>
  <c r="AK200" i="4"/>
  <c r="AK201" i="4"/>
  <c r="AK202" i="4"/>
  <c r="AK203" i="4"/>
  <c r="AB17" i="4"/>
  <c r="AB23" i="4"/>
  <c r="AA16" i="4"/>
  <c r="AA15" i="4"/>
  <c r="AA14" i="4"/>
  <c r="K21" i="3" l="1"/>
  <c r="B5" i="5"/>
  <c r="L201" i="3"/>
  <c r="K201" i="3"/>
  <c r="J201" i="3"/>
  <c r="I201" i="3"/>
  <c r="H201" i="3"/>
  <c r="G201" i="3"/>
  <c r="F201" i="3"/>
  <c r="E201" i="3"/>
  <c r="D201" i="3"/>
  <c r="C201" i="3"/>
  <c r="B201" i="3"/>
  <c r="A201" i="3"/>
  <c r="L200" i="3"/>
  <c r="K200" i="3"/>
  <c r="J200" i="3"/>
  <c r="I200" i="3"/>
  <c r="H200" i="3"/>
  <c r="G200" i="3"/>
  <c r="F200" i="3"/>
  <c r="E200" i="3"/>
  <c r="D200" i="3"/>
  <c r="C200" i="3"/>
  <c r="B200" i="3"/>
  <c r="A200" i="3"/>
  <c r="P200" i="3" s="1"/>
  <c r="L199" i="3"/>
  <c r="K199" i="3"/>
  <c r="J199" i="3"/>
  <c r="I199" i="3"/>
  <c r="H199" i="3"/>
  <c r="G199" i="3"/>
  <c r="F199" i="3"/>
  <c r="E199" i="3"/>
  <c r="D199" i="3"/>
  <c r="C199" i="3"/>
  <c r="B199" i="3"/>
  <c r="A199" i="3"/>
  <c r="L198" i="3"/>
  <c r="K198" i="3"/>
  <c r="J198" i="3"/>
  <c r="I198" i="3"/>
  <c r="H198" i="3"/>
  <c r="G198" i="3"/>
  <c r="F198" i="3"/>
  <c r="E198" i="3"/>
  <c r="D198" i="3"/>
  <c r="C198" i="3"/>
  <c r="B198" i="3"/>
  <c r="A198" i="3"/>
  <c r="D200" i="4" s="1"/>
  <c r="L197" i="3"/>
  <c r="K197" i="3"/>
  <c r="J197" i="3"/>
  <c r="I197" i="3"/>
  <c r="H197" i="3"/>
  <c r="G197" i="3"/>
  <c r="F197" i="3"/>
  <c r="E197" i="3"/>
  <c r="D197" i="3"/>
  <c r="C197" i="3"/>
  <c r="B197" i="3"/>
  <c r="A197" i="3"/>
  <c r="L196" i="3"/>
  <c r="K196" i="3"/>
  <c r="J196" i="3"/>
  <c r="I196" i="3"/>
  <c r="H196" i="3"/>
  <c r="G196" i="3"/>
  <c r="F196" i="3"/>
  <c r="E196" i="3"/>
  <c r="D196" i="3"/>
  <c r="C196" i="3"/>
  <c r="B196" i="3"/>
  <c r="A196" i="3"/>
  <c r="A198" i="4" s="1"/>
  <c r="L195" i="3"/>
  <c r="K195" i="3"/>
  <c r="J195" i="3"/>
  <c r="I195" i="3"/>
  <c r="H195" i="3"/>
  <c r="G195" i="3"/>
  <c r="F195" i="3"/>
  <c r="E195" i="3"/>
  <c r="D195" i="3"/>
  <c r="C195" i="3"/>
  <c r="B195" i="3"/>
  <c r="A195" i="3"/>
  <c r="L194" i="3"/>
  <c r="K194" i="3"/>
  <c r="J194" i="3"/>
  <c r="I194" i="3"/>
  <c r="H194" i="3"/>
  <c r="G194" i="3"/>
  <c r="F194" i="3"/>
  <c r="E194" i="3"/>
  <c r="D194" i="3"/>
  <c r="C194" i="3"/>
  <c r="B194" i="3"/>
  <c r="A194" i="3"/>
  <c r="L193" i="3"/>
  <c r="K193" i="3"/>
  <c r="J193" i="3"/>
  <c r="I193" i="3"/>
  <c r="H193" i="3"/>
  <c r="G193" i="3"/>
  <c r="F193" i="3"/>
  <c r="E193" i="3"/>
  <c r="D193" i="3"/>
  <c r="C193" i="3"/>
  <c r="B193" i="3"/>
  <c r="A193" i="3"/>
  <c r="L192" i="3"/>
  <c r="K192" i="3"/>
  <c r="J192" i="3"/>
  <c r="I192" i="3"/>
  <c r="H192" i="3"/>
  <c r="G192" i="3"/>
  <c r="F192" i="3"/>
  <c r="E192" i="3"/>
  <c r="D192" i="3"/>
  <c r="C192" i="3"/>
  <c r="B192" i="3"/>
  <c r="A192" i="3"/>
  <c r="L191" i="3"/>
  <c r="K191" i="3"/>
  <c r="J191" i="3"/>
  <c r="I191" i="3"/>
  <c r="H191" i="3"/>
  <c r="G191" i="3"/>
  <c r="F191" i="3"/>
  <c r="E191" i="3"/>
  <c r="D191" i="3"/>
  <c r="C191" i="3"/>
  <c r="B191" i="3"/>
  <c r="A191" i="3"/>
  <c r="Q191" i="3" s="1"/>
  <c r="L190" i="3"/>
  <c r="K190" i="3"/>
  <c r="J190" i="3"/>
  <c r="I190" i="3"/>
  <c r="H190" i="3"/>
  <c r="G190" i="3"/>
  <c r="F190" i="3"/>
  <c r="E190" i="3"/>
  <c r="D190" i="3"/>
  <c r="C190" i="3"/>
  <c r="B190" i="3"/>
  <c r="A190" i="3"/>
  <c r="P190" i="3" s="1"/>
  <c r="R189" i="3"/>
  <c r="L189" i="3"/>
  <c r="K189" i="3"/>
  <c r="J189" i="3"/>
  <c r="I189" i="3"/>
  <c r="H189" i="3"/>
  <c r="G189" i="3"/>
  <c r="F189" i="3"/>
  <c r="E189" i="3"/>
  <c r="D189" i="3"/>
  <c r="C189" i="3"/>
  <c r="B189" i="3"/>
  <c r="A189" i="3"/>
  <c r="Q189" i="3" s="1"/>
  <c r="L188" i="3"/>
  <c r="K188" i="3"/>
  <c r="J188" i="3"/>
  <c r="I188" i="3"/>
  <c r="H188" i="3"/>
  <c r="G188" i="3"/>
  <c r="F188" i="3"/>
  <c r="E188" i="3"/>
  <c r="D188" i="3"/>
  <c r="C188" i="3"/>
  <c r="B188" i="3"/>
  <c r="A188" i="3"/>
  <c r="C190" i="4" s="1"/>
  <c r="AI190" i="4" s="1"/>
  <c r="L187" i="3"/>
  <c r="K187" i="3"/>
  <c r="J187" i="3"/>
  <c r="I187" i="3"/>
  <c r="H187" i="3"/>
  <c r="G187" i="3"/>
  <c r="F187" i="3"/>
  <c r="E187" i="3"/>
  <c r="D187" i="3"/>
  <c r="C187" i="3"/>
  <c r="B187" i="3"/>
  <c r="A187" i="3"/>
  <c r="L186" i="3"/>
  <c r="K186" i="3"/>
  <c r="J186" i="3"/>
  <c r="I186" i="3"/>
  <c r="H186" i="3"/>
  <c r="G186" i="3"/>
  <c r="F186" i="3"/>
  <c r="E186" i="3"/>
  <c r="D186" i="3"/>
  <c r="C186" i="3"/>
  <c r="B186" i="3"/>
  <c r="A186" i="3"/>
  <c r="L185" i="3"/>
  <c r="K185" i="3"/>
  <c r="J185" i="3"/>
  <c r="I185" i="3"/>
  <c r="H185" i="3"/>
  <c r="G185" i="3"/>
  <c r="F185" i="3"/>
  <c r="E185" i="3"/>
  <c r="D185" i="3"/>
  <c r="C185" i="3"/>
  <c r="B185" i="3"/>
  <c r="A185" i="3"/>
  <c r="L184" i="3"/>
  <c r="K184" i="3"/>
  <c r="J184" i="3"/>
  <c r="I184" i="3"/>
  <c r="H184" i="3"/>
  <c r="G184" i="3"/>
  <c r="F184" i="3"/>
  <c r="E184" i="3"/>
  <c r="D184" i="3"/>
  <c r="C184" i="3"/>
  <c r="B184" i="3"/>
  <c r="A184" i="3"/>
  <c r="L183" i="3"/>
  <c r="K183" i="3"/>
  <c r="J183" i="3"/>
  <c r="I183" i="3"/>
  <c r="H183" i="3"/>
  <c r="G183" i="3"/>
  <c r="F183" i="3"/>
  <c r="E183" i="3"/>
  <c r="D183" i="3"/>
  <c r="C183" i="3"/>
  <c r="B183" i="3"/>
  <c r="A183" i="3"/>
  <c r="L182" i="3"/>
  <c r="K182" i="3"/>
  <c r="J182" i="3"/>
  <c r="I182" i="3"/>
  <c r="H182" i="3"/>
  <c r="G182" i="3"/>
  <c r="F182" i="3"/>
  <c r="E182" i="3"/>
  <c r="D182" i="3"/>
  <c r="C182" i="3"/>
  <c r="B182" i="3"/>
  <c r="A182" i="3"/>
  <c r="F184" i="4" s="1"/>
  <c r="L181" i="3"/>
  <c r="K181" i="3"/>
  <c r="J181" i="3"/>
  <c r="I181" i="3"/>
  <c r="H181" i="3"/>
  <c r="G181" i="3"/>
  <c r="F181" i="3"/>
  <c r="E181" i="3"/>
  <c r="D181" i="3"/>
  <c r="C181" i="3"/>
  <c r="B181" i="3"/>
  <c r="A181" i="3"/>
  <c r="L180" i="3"/>
  <c r="K180" i="3"/>
  <c r="J180" i="3"/>
  <c r="I180" i="3"/>
  <c r="H180" i="3"/>
  <c r="G180" i="3"/>
  <c r="F180" i="3"/>
  <c r="E180" i="3"/>
  <c r="D180" i="3"/>
  <c r="C180" i="3"/>
  <c r="B180" i="3"/>
  <c r="A180" i="3"/>
  <c r="E182" i="4" s="1"/>
  <c r="AF182" i="4" s="1"/>
  <c r="L179" i="3"/>
  <c r="K179" i="3"/>
  <c r="J179" i="3"/>
  <c r="I179" i="3"/>
  <c r="H179" i="3"/>
  <c r="G179" i="3"/>
  <c r="F179" i="3"/>
  <c r="E179" i="3"/>
  <c r="D179" i="3"/>
  <c r="C179" i="3"/>
  <c r="B179" i="3"/>
  <c r="A179" i="3"/>
  <c r="H181" i="4" s="1"/>
  <c r="L178" i="3"/>
  <c r="K178" i="3"/>
  <c r="J178" i="3"/>
  <c r="I178" i="3"/>
  <c r="H178" i="3"/>
  <c r="G178" i="3"/>
  <c r="F178" i="3"/>
  <c r="E178" i="3"/>
  <c r="D178" i="3"/>
  <c r="C178" i="3"/>
  <c r="B178" i="3"/>
  <c r="A178" i="3"/>
  <c r="F180" i="4" s="1"/>
  <c r="T177" i="3"/>
  <c r="L177" i="3"/>
  <c r="K177" i="3"/>
  <c r="J177" i="3"/>
  <c r="I177" i="3"/>
  <c r="H177" i="3"/>
  <c r="G177" i="3"/>
  <c r="F177" i="3"/>
  <c r="E177" i="3"/>
  <c r="D177" i="3"/>
  <c r="C177" i="3"/>
  <c r="B177" i="3"/>
  <c r="A177" i="3"/>
  <c r="L176" i="3"/>
  <c r="K176" i="3"/>
  <c r="J176" i="3"/>
  <c r="I176" i="3"/>
  <c r="H176" i="3"/>
  <c r="G176" i="3"/>
  <c r="F176" i="3"/>
  <c r="E176" i="3"/>
  <c r="D176" i="3"/>
  <c r="C176" i="3"/>
  <c r="B176" i="3"/>
  <c r="A176" i="3"/>
  <c r="L175" i="3"/>
  <c r="K175" i="3"/>
  <c r="J175" i="3"/>
  <c r="I175" i="3"/>
  <c r="H175" i="3"/>
  <c r="G175" i="3"/>
  <c r="F175" i="3"/>
  <c r="E175" i="3"/>
  <c r="D175" i="3"/>
  <c r="C175" i="3"/>
  <c r="B175" i="3"/>
  <c r="A175" i="3"/>
  <c r="L174" i="3"/>
  <c r="K174" i="3"/>
  <c r="J174" i="3"/>
  <c r="I174" i="3"/>
  <c r="H174" i="3"/>
  <c r="G174" i="3"/>
  <c r="F174" i="3"/>
  <c r="E174" i="3"/>
  <c r="D174" i="3"/>
  <c r="C174" i="3"/>
  <c r="B174" i="3"/>
  <c r="A174" i="3"/>
  <c r="L173" i="3"/>
  <c r="K173" i="3"/>
  <c r="J173" i="3"/>
  <c r="I173" i="3"/>
  <c r="H173" i="3"/>
  <c r="G173" i="3"/>
  <c r="F173" i="3"/>
  <c r="E173" i="3"/>
  <c r="D173" i="3"/>
  <c r="C173" i="3"/>
  <c r="B173" i="3"/>
  <c r="A173" i="3"/>
  <c r="I175" i="4" s="1"/>
  <c r="L172" i="3"/>
  <c r="K172" i="3"/>
  <c r="J172" i="3"/>
  <c r="I172" i="3"/>
  <c r="H172" i="3"/>
  <c r="G172" i="3"/>
  <c r="F172" i="3"/>
  <c r="E172" i="3"/>
  <c r="D172" i="3"/>
  <c r="C172" i="3"/>
  <c r="B172" i="3"/>
  <c r="A172" i="3"/>
  <c r="L171" i="3"/>
  <c r="K171" i="3"/>
  <c r="J171" i="3"/>
  <c r="I171" i="3"/>
  <c r="H171" i="3"/>
  <c r="G171" i="3"/>
  <c r="F171" i="3"/>
  <c r="E171" i="3"/>
  <c r="D171" i="3"/>
  <c r="C171" i="3"/>
  <c r="B171" i="3"/>
  <c r="A171" i="3"/>
  <c r="G173" i="4" s="1"/>
  <c r="L170" i="3"/>
  <c r="K170" i="3"/>
  <c r="J170" i="3"/>
  <c r="I170" i="3"/>
  <c r="H170" i="3"/>
  <c r="G170" i="3"/>
  <c r="F170" i="3"/>
  <c r="E170" i="3"/>
  <c r="D170" i="3"/>
  <c r="C170" i="3"/>
  <c r="B170" i="3"/>
  <c r="A170" i="3"/>
  <c r="G172" i="4" s="1"/>
  <c r="L169" i="3"/>
  <c r="K169" i="3"/>
  <c r="J169" i="3"/>
  <c r="I169" i="3"/>
  <c r="H169" i="3"/>
  <c r="G169" i="3"/>
  <c r="F169" i="3"/>
  <c r="E169" i="3"/>
  <c r="D169" i="3"/>
  <c r="C169" i="3"/>
  <c r="B169" i="3"/>
  <c r="A169" i="3"/>
  <c r="L168" i="3"/>
  <c r="K168" i="3"/>
  <c r="J168" i="3"/>
  <c r="I168" i="3"/>
  <c r="H168" i="3"/>
  <c r="G168" i="3"/>
  <c r="F168" i="3"/>
  <c r="E168" i="3"/>
  <c r="D168" i="3"/>
  <c r="C168" i="3"/>
  <c r="B168" i="3"/>
  <c r="A168" i="3"/>
  <c r="L167" i="3"/>
  <c r="K167" i="3"/>
  <c r="J167" i="3"/>
  <c r="I167" i="3"/>
  <c r="H167" i="3"/>
  <c r="G167" i="3"/>
  <c r="F167" i="3"/>
  <c r="E167" i="3"/>
  <c r="D167" i="3"/>
  <c r="C167" i="3"/>
  <c r="B167" i="3"/>
  <c r="A167" i="3"/>
  <c r="L166" i="3"/>
  <c r="K166" i="3"/>
  <c r="J166" i="3"/>
  <c r="I166" i="3"/>
  <c r="H166" i="3"/>
  <c r="G166" i="3"/>
  <c r="F166" i="3"/>
  <c r="E166" i="3"/>
  <c r="D166" i="3"/>
  <c r="C166" i="3"/>
  <c r="B166" i="3"/>
  <c r="A166" i="3"/>
  <c r="L165" i="3"/>
  <c r="K165" i="3"/>
  <c r="J165" i="3"/>
  <c r="I165" i="3"/>
  <c r="H165" i="3"/>
  <c r="G165" i="3"/>
  <c r="F165" i="3"/>
  <c r="E165" i="3"/>
  <c r="D165" i="3"/>
  <c r="C165" i="3"/>
  <c r="B165" i="3"/>
  <c r="A165" i="3"/>
  <c r="Q165" i="3" s="1"/>
  <c r="L164" i="3"/>
  <c r="K164" i="3"/>
  <c r="J164" i="3"/>
  <c r="I164" i="3"/>
  <c r="H164" i="3"/>
  <c r="G164" i="3"/>
  <c r="F164" i="3"/>
  <c r="E164" i="3"/>
  <c r="D164" i="3"/>
  <c r="C164" i="3"/>
  <c r="B164" i="3"/>
  <c r="A164" i="3"/>
  <c r="P164" i="3" s="1"/>
  <c r="L163" i="3"/>
  <c r="K163" i="3"/>
  <c r="J163" i="3"/>
  <c r="I163" i="3"/>
  <c r="H163" i="3"/>
  <c r="G163" i="3"/>
  <c r="F163" i="3"/>
  <c r="E163" i="3"/>
  <c r="D163" i="3"/>
  <c r="C163" i="3"/>
  <c r="B163" i="3"/>
  <c r="A163" i="3"/>
  <c r="G165" i="4" s="1"/>
  <c r="L162" i="3"/>
  <c r="K162" i="3"/>
  <c r="J162" i="3"/>
  <c r="I162" i="3"/>
  <c r="H162" i="3"/>
  <c r="G162" i="3"/>
  <c r="F162" i="3"/>
  <c r="E162" i="3"/>
  <c r="D162" i="3"/>
  <c r="C162" i="3"/>
  <c r="B162" i="3"/>
  <c r="A162" i="3"/>
  <c r="L161" i="3"/>
  <c r="K161" i="3"/>
  <c r="J161" i="3"/>
  <c r="I161" i="3"/>
  <c r="H161" i="3"/>
  <c r="G161" i="3"/>
  <c r="F161" i="3"/>
  <c r="E161" i="3"/>
  <c r="D161" i="3"/>
  <c r="C161" i="3"/>
  <c r="B161" i="3"/>
  <c r="A161" i="3"/>
  <c r="F163" i="4" s="1"/>
  <c r="L160" i="3"/>
  <c r="K160" i="3"/>
  <c r="J160" i="3"/>
  <c r="I160" i="3"/>
  <c r="H160" i="3"/>
  <c r="G160" i="3"/>
  <c r="F160" i="3"/>
  <c r="E160" i="3"/>
  <c r="D160" i="3"/>
  <c r="C160" i="3"/>
  <c r="B160" i="3"/>
  <c r="A160" i="3"/>
  <c r="J162" i="4" s="1"/>
  <c r="L159" i="3"/>
  <c r="K159" i="3"/>
  <c r="J159" i="3"/>
  <c r="I159" i="3"/>
  <c r="H159" i="3"/>
  <c r="G159" i="3"/>
  <c r="F159" i="3"/>
  <c r="E159" i="3"/>
  <c r="D159" i="3"/>
  <c r="C159" i="3"/>
  <c r="B159" i="3"/>
  <c r="A159" i="3"/>
  <c r="L158" i="3"/>
  <c r="K158" i="3"/>
  <c r="J158" i="3"/>
  <c r="I158" i="3"/>
  <c r="H158" i="3"/>
  <c r="G158" i="3"/>
  <c r="F158" i="3"/>
  <c r="E158" i="3"/>
  <c r="D158" i="3"/>
  <c r="C158" i="3"/>
  <c r="B158" i="3"/>
  <c r="A158" i="3"/>
  <c r="L157" i="3"/>
  <c r="K157" i="3"/>
  <c r="J157" i="3"/>
  <c r="I157" i="3"/>
  <c r="H157" i="3"/>
  <c r="G157" i="3"/>
  <c r="F157" i="3"/>
  <c r="E157" i="3"/>
  <c r="D157" i="3"/>
  <c r="C157" i="3"/>
  <c r="B157" i="3"/>
  <c r="A157" i="3"/>
  <c r="S157" i="3" s="1"/>
  <c r="L156" i="3"/>
  <c r="K156" i="3"/>
  <c r="J156" i="3"/>
  <c r="I156" i="3"/>
  <c r="H156" i="3"/>
  <c r="G156" i="3"/>
  <c r="F156" i="3"/>
  <c r="E156" i="3"/>
  <c r="D156" i="3"/>
  <c r="C156" i="3"/>
  <c r="B156" i="3"/>
  <c r="A156" i="3"/>
  <c r="L155" i="3"/>
  <c r="K155" i="3"/>
  <c r="J155" i="3"/>
  <c r="I155" i="3"/>
  <c r="H155" i="3"/>
  <c r="G155" i="3"/>
  <c r="F155" i="3"/>
  <c r="E155" i="3"/>
  <c r="D155" i="3"/>
  <c r="C155" i="3"/>
  <c r="B155" i="3"/>
  <c r="A155" i="3"/>
  <c r="L154" i="3"/>
  <c r="K154" i="3"/>
  <c r="J154" i="3"/>
  <c r="I154" i="3"/>
  <c r="H154" i="3"/>
  <c r="G154" i="3"/>
  <c r="F154" i="3"/>
  <c r="E154" i="3"/>
  <c r="D154" i="3"/>
  <c r="C154" i="3"/>
  <c r="B154" i="3"/>
  <c r="A154" i="3"/>
  <c r="L153" i="3"/>
  <c r="K153" i="3"/>
  <c r="J153" i="3"/>
  <c r="I153" i="3"/>
  <c r="H153" i="3"/>
  <c r="G153" i="3"/>
  <c r="F153" i="3"/>
  <c r="E153" i="3"/>
  <c r="D153" i="3"/>
  <c r="C153" i="3"/>
  <c r="B153" i="3"/>
  <c r="A153" i="3"/>
  <c r="L152" i="3"/>
  <c r="K152" i="3"/>
  <c r="J152" i="3"/>
  <c r="I152" i="3"/>
  <c r="H152" i="3"/>
  <c r="G152" i="3"/>
  <c r="F152" i="3"/>
  <c r="E152" i="3"/>
  <c r="D152" i="3"/>
  <c r="C152" i="3"/>
  <c r="B152" i="3"/>
  <c r="A152" i="3"/>
  <c r="L151" i="3"/>
  <c r="K151" i="3"/>
  <c r="J151" i="3"/>
  <c r="I151" i="3"/>
  <c r="H151" i="3"/>
  <c r="G151" i="3"/>
  <c r="F151" i="3"/>
  <c r="E151" i="3"/>
  <c r="D151" i="3"/>
  <c r="C151" i="3"/>
  <c r="B151" i="3"/>
  <c r="A151" i="3"/>
  <c r="L150" i="3"/>
  <c r="K150" i="3"/>
  <c r="J150" i="3"/>
  <c r="I150" i="3"/>
  <c r="H150" i="3"/>
  <c r="G150" i="3"/>
  <c r="F150" i="3"/>
  <c r="E150" i="3"/>
  <c r="D150" i="3"/>
  <c r="C150" i="3"/>
  <c r="B150" i="3"/>
  <c r="A150" i="3"/>
  <c r="R149" i="3"/>
  <c r="L149" i="3"/>
  <c r="K149" i="3"/>
  <c r="J149" i="3"/>
  <c r="I149" i="3"/>
  <c r="H149" i="3"/>
  <c r="G149" i="3"/>
  <c r="F149" i="3"/>
  <c r="E149" i="3"/>
  <c r="D149" i="3"/>
  <c r="C149" i="3"/>
  <c r="B149" i="3"/>
  <c r="A149" i="3"/>
  <c r="L148" i="3"/>
  <c r="K148" i="3"/>
  <c r="J148" i="3"/>
  <c r="I148" i="3"/>
  <c r="H148" i="3"/>
  <c r="G148" i="3"/>
  <c r="F148" i="3"/>
  <c r="E148" i="3"/>
  <c r="D148" i="3"/>
  <c r="C148" i="3"/>
  <c r="B148" i="3"/>
  <c r="A148" i="3"/>
  <c r="L147" i="3"/>
  <c r="K147" i="3"/>
  <c r="J147" i="3"/>
  <c r="I147" i="3"/>
  <c r="H147" i="3"/>
  <c r="G147" i="3"/>
  <c r="F147" i="3"/>
  <c r="E147" i="3"/>
  <c r="D147" i="3"/>
  <c r="C147" i="3"/>
  <c r="B147" i="3"/>
  <c r="A147" i="3"/>
  <c r="I149" i="4" s="1"/>
  <c r="L146" i="3"/>
  <c r="K146" i="3"/>
  <c r="J146" i="3"/>
  <c r="I146" i="3"/>
  <c r="H146" i="3"/>
  <c r="G146" i="3"/>
  <c r="F146" i="3"/>
  <c r="E146" i="3"/>
  <c r="D146" i="3"/>
  <c r="C146" i="3"/>
  <c r="B146" i="3"/>
  <c r="A146" i="3"/>
  <c r="L145" i="3"/>
  <c r="K145" i="3"/>
  <c r="J145" i="3"/>
  <c r="I145" i="3"/>
  <c r="H145" i="3"/>
  <c r="G145" i="3"/>
  <c r="F145" i="3"/>
  <c r="E145" i="3"/>
  <c r="D145" i="3"/>
  <c r="C145" i="3"/>
  <c r="B145" i="3"/>
  <c r="A145" i="3"/>
  <c r="L144" i="3"/>
  <c r="K144" i="3"/>
  <c r="J144" i="3"/>
  <c r="I144" i="3"/>
  <c r="H144" i="3"/>
  <c r="G144" i="3"/>
  <c r="F144" i="3"/>
  <c r="E144" i="3"/>
  <c r="D144" i="3"/>
  <c r="C144" i="3"/>
  <c r="B144" i="3"/>
  <c r="A144" i="3"/>
  <c r="A146" i="4" s="1"/>
  <c r="R143" i="3"/>
  <c r="L143" i="3"/>
  <c r="K143" i="3"/>
  <c r="J143" i="3"/>
  <c r="I143" i="3"/>
  <c r="H143" i="3"/>
  <c r="G143" i="3"/>
  <c r="F143" i="3"/>
  <c r="E143" i="3"/>
  <c r="D143" i="3"/>
  <c r="C143" i="3"/>
  <c r="B143" i="3"/>
  <c r="A143" i="3"/>
  <c r="L142" i="3"/>
  <c r="K142" i="3"/>
  <c r="J142" i="3"/>
  <c r="I142" i="3"/>
  <c r="H142" i="3"/>
  <c r="G142" i="3"/>
  <c r="F142" i="3"/>
  <c r="E142" i="3"/>
  <c r="D142" i="3"/>
  <c r="C142" i="3"/>
  <c r="B142" i="3"/>
  <c r="A142" i="3"/>
  <c r="T141" i="3"/>
  <c r="R141" i="3"/>
  <c r="L141" i="3"/>
  <c r="K141" i="3"/>
  <c r="J141" i="3"/>
  <c r="I141" i="3"/>
  <c r="H141" i="3"/>
  <c r="G141" i="3"/>
  <c r="F141" i="3"/>
  <c r="E141" i="3"/>
  <c r="D141" i="3"/>
  <c r="C141" i="3"/>
  <c r="B141" i="3"/>
  <c r="A141" i="3"/>
  <c r="S141" i="3" s="1"/>
  <c r="L140" i="3"/>
  <c r="K140" i="3"/>
  <c r="J140" i="3"/>
  <c r="I140" i="3"/>
  <c r="H140" i="3"/>
  <c r="G140" i="3"/>
  <c r="F140" i="3"/>
  <c r="E140" i="3"/>
  <c r="D140" i="3"/>
  <c r="C140" i="3"/>
  <c r="B140" i="3"/>
  <c r="A140" i="3"/>
  <c r="P140" i="3" s="1"/>
  <c r="L139" i="3"/>
  <c r="K139" i="3"/>
  <c r="J139" i="3"/>
  <c r="I139" i="3"/>
  <c r="H139" i="3"/>
  <c r="G139" i="3"/>
  <c r="F139" i="3"/>
  <c r="E139" i="3"/>
  <c r="D139" i="3"/>
  <c r="C139" i="3"/>
  <c r="B139" i="3"/>
  <c r="A139" i="3"/>
  <c r="L138" i="3"/>
  <c r="K138" i="3"/>
  <c r="J138" i="3"/>
  <c r="I138" i="3"/>
  <c r="H138" i="3"/>
  <c r="G138" i="3"/>
  <c r="F138" i="3"/>
  <c r="E138" i="3"/>
  <c r="D138" i="3"/>
  <c r="C138" i="3"/>
  <c r="B138" i="3"/>
  <c r="A138" i="3"/>
  <c r="L137" i="3"/>
  <c r="K137" i="3"/>
  <c r="J137" i="3"/>
  <c r="I137" i="3"/>
  <c r="H137" i="3"/>
  <c r="G137" i="3"/>
  <c r="F137" i="3"/>
  <c r="E137" i="3"/>
  <c r="D137" i="3"/>
  <c r="C137" i="3"/>
  <c r="B137" i="3"/>
  <c r="A137" i="3"/>
  <c r="L136" i="3"/>
  <c r="K136" i="3"/>
  <c r="J136" i="3"/>
  <c r="I136" i="3"/>
  <c r="H136" i="3"/>
  <c r="G136" i="3"/>
  <c r="F136" i="3"/>
  <c r="E136" i="3"/>
  <c r="D136" i="3"/>
  <c r="C136" i="3"/>
  <c r="B136" i="3"/>
  <c r="A136" i="3"/>
  <c r="L135" i="3"/>
  <c r="K135" i="3"/>
  <c r="J135" i="3"/>
  <c r="I135" i="3"/>
  <c r="H135" i="3"/>
  <c r="G135" i="3"/>
  <c r="F135" i="3"/>
  <c r="E135" i="3"/>
  <c r="D135" i="3"/>
  <c r="C135" i="3"/>
  <c r="B135" i="3"/>
  <c r="A135" i="3"/>
  <c r="R135" i="3" s="1"/>
  <c r="L134" i="3"/>
  <c r="K134" i="3"/>
  <c r="J134" i="3"/>
  <c r="I134" i="3"/>
  <c r="H134" i="3"/>
  <c r="G134" i="3"/>
  <c r="F134" i="3"/>
  <c r="E134" i="3"/>
  <c r="D134" i="3"/>
  <c r="C134" i="3"/>
  <c r="B134" i="3"/>
  <c r="A134" i="3"/>
  <c r="L133" i="3"/>
  <c r="K133" i="3"/>
  <c r="J133" i="3"/>
  <c r="I133" i="3"/>
  <c r="H133" i="3"/>
  <c r="G133" i="3"/>
  <c r="F133" i="3"/>
  <c r="E133" i="3"/>
  <c r="D133" i="3"/>
  <c r="C133" i="3"/>
  <c r="B133" i="3"/>
  <c r="A133" i="3"/>
  <c r="L132" i="3"/>
  <c r="K132" i="3"/>
  <c r="J132" i="3"/>
  <c r="I132" i="3"/>
  <c r="H132" i="3"/>
  <c r="G132" i="3"/>
  <c r="F132" i="3"/>
  <c r="E132" i="3"/>
  <c r="D132" i="3"/>
  <c r="C132" i="3"/>
  <c r="B132" i="3"/>
  <c r="A132" i="3"/>
  <c r="H134" i="4" s="1"/>
  <c r="L131" i="3"/>
  <c r="K131" i="3"/>
  <c r="J131" i="3"/>
  <c r="I131" i="3"/>
  <c r="H131" i="3"/>
  <c r="G131" i="3"/>
  <c r="F131" i="3"/>
  <c r="E131" i="3"/>
  <c r="D131" i="3"/>
  <c r="C131" i="3"/>
  <c r="B131" i="3"/>
  <c r="A131" i="3"/>
  <c r="Q131" i="3" s="1"/>
  <c r="L130" i="3"/>
  <c r="K130" i="3"/>
  <c r="J130" i="3"/>
  <c r="I130" i="3"/>
  <c r="H130" i="3"/>
  <c r="G130" i="3"/>
  <c r="F130" i="3"/>
  <c r="E130" i="3"/>
  <c r="D130" i="3"/>
  <c r="C130" i="3"/>
  <c r="B130" i="3"/>
  <c r="A130" i="3"/>
  <c r="L129" i="3"/>
  <c r="K129" i="3"/>
  <c r="J129" i="3"/>
  <c r="I129" i="3"/>
  <c r="H129" i="3"/>
  <c r="G129" i="3"/>
  <c r="F129" i="3"/>
  <c r="E129" i="3"/>
  <c r="D129" i="3"/>
  <c r="C129" i="3"/>
  <c r="B129" i="3"/>
  <c r="A129" i="3"/>
  <c r="L128" i="3"/>
  <c r="K128" i="3"/>
  <c r="J128" i="3"/>
  <c r="I128" i="3"/>
  <c r="H128" i="3"/>
  <c r="G128" i="3"/>
  <c r="F128" i="3"/>
  <c r="E128" i="3"/>
  <c r="D128" i="3"/>
  <c r="C128" i="3"/>
  <c r="B128" i="3"/>
  <c r="A128" i="3"/>
  <c r="K130" i="4" s="1"/>
  <c r="L127" i="3"/>
  <c r="K127" i="3"/>
  <c r="J127" i="3"/>
  <c r="I127" i="3"/>
  <c r="H127" i="3"/>
  <c r="G127" i="3"/>
  <c r="F127" i="3"/>
  <c r="E127" i="3"/>
  <c r="D127" i="3"/>
  <c r="C127" i="3"/>
  <c r="B127" i="3"/>
  <c r="A127" i="3"/>
  <c r="L126" i="3"/>
  <c r="K126" i="3"/>
  <c r="J126" i="3"/>
  <c r="I126" i="3"/>
  <c r="H126" i="3"/>
  <c r="G126" i="3"/>
  <c r="F126" i="3"/>
  <c r="E126" i="3"/>
  <c r="D126" i="3"/>
  <c r="C126" i="3"/>
  <c r="B126" i="3"/>
  <c r="A126" i="3"/>
  <c r="K128" i="4" s="1"/>
  <c r="L125" i="3"/>
  <c r="K125" i="3"/>
  <c r="J125" i="3"/>
  <c r="I125" i="3"/>
  <c r="H125" i="3"/>
  <c r="G125" i="3"/>
  <c r="F125" i="3"/>
  <c r="E125" i="3"/>
  <c r="D125" i="3"/>
  <c r="C125" i="3"/>
  <c r="B125" i="3"/>
  <c r="A125" i="3"/>
  <c r="L124" i="3"/>
  <c r="K124" i="3"/>
  <c r="J124" i="3"/>
  <c r="I124" i="3"/>
  <c r="H124" i="3"/>
  <c r="G124" i="3"/>
  <c r="F124" i="3"/>
  <c r="E124" i="3"/>
  <c r="D124" i="3"/>
  <c r="C124" i="3"/>
  <c r="B124" i="3"/>
  <c r="A124" i="3"/>
  <c r="L123" i="3"/>
  <c r="K123" i="3"/>
  <c r="J123" i="3"/>
  <c r="I123" i="3"/>
  <c r="H123" i="3"/>
  <c r="G123" i="3"/>
  <c r="F123" i="3"/>
  <c r="E123" i="3"/>
  <c r="D123" i="3"/>
  <c r="C123" i="3"/>
  <c r="B123" i="3"/>
  <c r="A123" i="3"/>
  <c r="L122" i="3"/>
  <c r="K122" i="3"/>
  <c r="J122" i="3"/>
  <c r="I122" i="3"/>
  <c r="H122" i="3"/>
  <c r="G122" i="3"/>
  <c r="F122" i="3"/>
  <c r="E122" i="3"/>
  <c r="D122" i="3"/>
  <c r="C122" i="3"/>
  <c r="B122" i="3"/>
  <c r="A122" i="3"/>
  <c r="I124" i="4" s="1"/>
  <c r="L121" i="3"/>
  <c r="K121" i="3"/>
  <c r="J121" i="3"/>
  <c r="I121" i="3"/>
  <c r="H121" i="3"/>
  <c r="G121" i="3"/>
  <c r="F121" i="3"/>
  <c r="E121" i="3"/>
  <c r="D121" i="3"/>
  <c r="C121" i="3"/>
  <c r="B121" i="3"/>
  <c r="A121" i="3"/>
  <c r="L120" i="3"/>
  <c r="K120" i="3"/>
  <c r="J120" i="3"/>
  <c r="I120" i="3"/>
  <c r="H120" i="3"/>
  <c r="G120" i="3"/>
  <c r="F120" i="3"/>
  <c r="E120" i="3"/>
  <c r="D120" i="3"/>
  <c r="C120" i="3"/>
  <c r="B120" i="3"/>
  <c r="A120" i="3"/>
  <c r="I122" i="4" s="1"/>
  <c r="L119" i="3"/>
  <c r="K119" i="3"/>
  <c r="J119" i="3"/>
  <c r="I119" i="3"/>
  <c r="H119" i="3"/>
  <c r="G119" i="3"/>
  <c r="F119" i="3"/>
  <c r="E119" i="3"/>
  <c r="D119" i="3"/>
  <c r="C119" i="3"/>
  <c r="B119" i="3"/>
  <c r="A119" i="3"/>
  <c r="L118" i="3"/>
  <c r="K118" i="3"/>
  <c r="J118" i="3"/>
  <c r="I118" i="3"/>
  <c r="H118" i="3"/>
  <c r="G118" i="3"/>
  <c r="F118" i="3"/>
  <c r="E118" i="3"/>
  <c r="D118" i="3"/>
  <c r="C118" i="3"/>
  <c r="B118" i="3"/>
  <c r="A118" i="3"/>
  <c r="G120" i="4" s="1"/>
  <c r="L117" i="3"/>
  <c r="K117" i="3"/>
  <c r="J117" i="3"/>
  <c r="I117" i="3"/>
  <c r="H117" i="3"/>
  <c r="G117" i="3"/>
  <c r="F117" i="3"/>
  <c r="E117" i="3"/>
  <c r="D117" i="3"/>
  <c r="C117" i="3"/>
  <c r="B117" i="3"/>
  <c r="A117" i="3"/>
  <c r="D119" i="4" s="1"/>
  <c r="L116" i="3"/>
  <c r="K116" i="3"/>
  <c r="J116" i="3"/>
  <c r="I116" i="3"/>
  <c r="H116" i="3"/>
  <c r="G116" i="3"/>
  <c r="F116" i="3"/>
  <c r="E116" i="3"/>
  <c r="D116" i="3"/>
  <c r="C116" i="3"/>
  <c r="B116" i="3"/>
  <c r="A116" i="3"/>
  <c r="G118" i="4" s="1"/>
  <c r="L115" i="3"/>
  <c r="K115" i="3"/>
  <c r="J115" i="3"/>
  <c r="I115" i="3"/>
  <c r="H115" i="3"/>
  <c r="G115" i="3"/>
  <c r="F115" i="3"/>
  <c r="E115" i="3"/>
  <c r="D115" i="3"/>
  <c r="C115" i="3"/>
  <c r="B115" i="3"/>
  <c r="A115" i="3"/>
  <c r="L114" i="3"/>
  <c r="K114" i="3"/>
  <c r="J114" i="3"/>
  <c r="I114" i="3"/>
  <c r="H114" i="3"/>
  <c r="G114" i="3"/>
  <c r="F114" i="3"/>
  <c r="E114" i="3"/>
  <c r="D114" i="3"/>
  <c r="C114" i="3"/>
  <c r="B114" i="3"/>
  <c r="A114" i="3"/>
  <c r="L113" i="3"/>
  <c r="K113" i="3"/>
  <c r="J113" i="3"/>
  <c r="I113" i="3"/>
  <c r="H113" i="3"/>
  <c r="G113" i="3"/>
  <c r="F113" i="3"/>
  <c r="E113" i="3"/>
  <c r="D113" i="3"/>
  <c r="C113" i="3"/>
  <c r="B113" i="3"/>
  <c r="A113" i="3"/>
  <c r="L112" i="3"/>
  <c r="K112" i="3"/>
  <c r="J112" i="3"/>
  <c r="I112" i="3"/>
  <c r="H112" i="3"/>
  <c r="G112" i="3"/>
  <c r="F112" i="3"/>
  <c r="E112" i="3"/>
  <c r="D112" i="3"/>
  <c r="C112" i="3"/>
  <c r="B112" i="3"/>
  <c r="A112" i="3"/>
  <c r="L111" i="3"/>
  <c r="K111" i="3"/>
  <c r="J111" i="3"/>
  <c r="I111" i="3"/>
  <c r="H111" i="3"/>
  <c r="G111" i="3"/>
  <c r="F111" i="3"/>
  <c r="E111" i="3"/>
  <c r="D111" i="3"/>
  <c r="C111" i="3"/>
  <c r="B111" i="3"/>
  <c r="A111" i="3"/>
  <c r="L110" i="3"/>
  <c r="K110" i="3"/>
  <c r="J110" i="3"/>
  <c r="I110" i="3"/>
  <c r="H110" i="3"/>
  <c r="G110" i="3"/>
  <c r="F110" i="3"/>
  <c r="E110" i="3"/>
  <c r="D110" i="3"/>
  <c r="C110" i="3"/>
  <c r="B110" i="3"/>
  <c r="A110" i="3"/>
  <c r="L109" i="3"/>
  <c r="K109" i="3"/>
  <c r="J109" i="3"/>
  <c r="I109" i="3"/>
  <c r="H109" i="3"/>
  <c r="G109" i="3"/>
  <c r="F109" i="3"/>
  <c r="E109" i="3"/>
  <c r="D109" i="3"/>
  <c r="C109" i="3"/>
  <c r="B109" i="3"/>
  <c r="A109" i="3"/>
  <c r="C111" i="4" s="1"/>
  <c r="AI111" i="4" s="1"/>
  <c r="L108" i="3"/>
  <c r="K108" i="3"/>
  <c r="J108" i="3"/>
  <c r="I108" i="3"/>
  <c r="H108" i="3"/>
  <c r="G108" i="3"/>
  <c r="F108" i="3"/>
  <c r="E108" i="3"/>
  <c r="D108" i="3"/>
  <c r="C108" i="3"/>
  <c r="B108" i="3"/>
  <c r="A108" i="3"/>
  <c r="L107" i="3"/>
  <c r="K107" i="3"/>
  <c r="J107" i="3"/>
  <c r="I107" i="3"/>
  <c r="H107" i="3"/>
  <c r="G107" i="3"/>
  <c r="F107" i="3"/>
  <c r="E107" i="3"/>
  <c r="D107" i="3"/>
  <c r="C107" i="3"/>
  <c r="B107" i="3"/>
  <c r="A107" i="3"/>
  <c r="L106" i="3"/>
  <c r="K106" i="3"/>
  <c r="J106" i="3"/>
  <c r="I106" i="3"/>
  <c r="H106" i="3"/>
  <c r="G106" i="3"/>
  <c r="F106" i="3"/>
  <c r="E106" i="3"/>
  <c r="D106" i="3"/>
  <c r="C106" i="3"/>
  <c r="B106" i="3"/>
  <c r="A106" i="3"/>
  <c r="T105" i="3"/>
  <c r="L105" i="3"/>
  <c r="K105" i="3"/>
  <c r="J105" i="3"/>
  <c r="I105" i="3"/>
  <c r="H105" i="3"/>
  <c r="G105" i="3"/>
  <c r="F105" i="3"/>
  <c r="E105" i="3"/>
  <c r="D105" i="3"/>
  <c r="C105" i="3"/>
  <c r="B105" i="3"/>
  <c r="A105" i="3"/>
  <c r="P105" i="3" s="1"/>
  <c r="L104" i="3"/>
  <c r="K104" i="3"/>
  <c r="J104" i="3"/>
  <c r="I104" i="3"/>
  <c r="H104" i="3"/>
  <c r="G104" i="3"/>
  <c r="F104" i="3"/>
  <c r="E104" i="3"/>
  <c r="D104" i="3"/>
  <c r="C104" i="3"/>
  <c r="B104" i="3"/>
  <c r="A104" i="3"/>
  <c r="H106" i="4" s="1"/>
  <c r="L103" i="3"/>
  <c r="K103" i="3"/>
  <c r="J103" i="3"/>
  <c r="I103" i="3"/>
  <c r="H103" i="3"/>
  <c r="G103" i="3"/>
  <c r="F103" i="3"/>
  <c r="E103" i="3"/>
  <c r="D103" i="3"/>
  <c r="C103" i="3"/>
  <c r="B103" i="3"/>
  <c r="A103" i="3"/>
  <c r="L102" i="3"/>
  <c r="K102" i="3"/>
  <c r="J102" i="3"/>
  <c r="I102" i="3"/>
  <c r="H102" i="3"/>
  <c r="G102" i="3"/>
  <c r="F102" i="3"/>
  <c r="E102" i="3"/>
  <c r="D102" i="3"/>
  <c r="C102" i="3"/>
  <c r="B102" i="3"/>
  <c r="A102" i="3"/>
  <c r="L101" i="3"/>
  <c r="K101" i="3"/>
  <c r="J101" i="3"/>
  <c r="I101" i="3"/>
  <c r="H101" i="3"/>
  <c r="G101" i="3"/>
  <c r="F101" i="3"/>
  <c r="E101" i="3"/>
  <c r="D101" i="3"/>
  <c r="C101" i="3"/>
  <c r="B101" i="3"/>
  <c r="A101" i="3"/>
  <c r="Q101" i="3" s="1"/>
  <c r="L100" i="3"/>
  <c r="K100" i="3"/>
  <c r="J100" i="3"/>
  <c r="I100" i="3"/>
  <c r="H100" i="3"/>
  <c r="G100" i="3"/>
  <c r="F100" i="3"/>
  <c r="E100" i="3"/>
  <c r="D100" i="3"/>
  <c r="C100" i="3"/>
  <c r="B100" i="3"/>
  <c r="A100" i="3"/>
  <c r="A102" i="4" s="1"/>
  <c r="AC102" i="4" s="1"/>
  <c r="L99" i="3"/>
  <c r="K99" i="3"/>
  <c r="J99" i="3"/>
  <c r="I99" i="3"/>
  <c r="H99" i="3"/>
  <c r="G99" i="3"/>
  <c r="F99" i="3"/>
  <c r="E99" i="3"/>
  <c r="D99" i="3"/>
  <c r="C99" i="3"/>
  <c r="B99" i="3"/>
  <c r="A99" i="3"/>
  <c r="L98" i="3"/>
  <c r="K98" i="3"/>
  <c r="J98" i="3"/>
  <c r="I98" i="3"/>
  <c r="H98" i="3"/>
  <c r="G98" i="3"/>
  <c r="F98" i="3"/>
  <c r="E98" i="3"/>
  <c r="D98" i="3"/>
  <c r="C98" i="3"/>
  <c r="B98" i="3"/>
  <c r="A98" i="3"/>
  <c r="L97" i="3"/>
  <c r="K97" i="3"/>
  <c r="J97" i="3"/>
  <c r="I97" i="3"/>
  <c r="H97" i="3"/>
  <c r="G97" i="3"/>
  <c r="F97" i="3"/>
  <c r="E97" i="3"/>
  <c r="D97" i="3"/>
  <c r="C97" i="3"/>
  <c r="B97" i="3"/>
  <c r="A97" i="3"/>
  <c r="L96" i="3"/>
  <c r="K96" i="3"/>
  <c r="J96" i="3"/>
  <c r="I96" i="3"/>
  <c r="H96" i="3"/>
  <c r="G96" i="3"/>
  <c r="F96" i="3"/>
  <c r="E96" i="3"/>
  <c r="D96" i="3"/>
  <c r="C96" i="3"/>
  <c r="B96" i="3"/>
  <c r="A96" i="3"/>
  <c r="T95" i="3"/>
  <c r="L95" i="3"/>
  <c r="K95" i="3"/>
  <c r="J95" i="3"/>
  <c r="I95" i="3"/>
  <c r="H95" i="3"/>
  <c r="G95" i="3"/>
  <c r="F95" i="3"/>
  <c r="E95" i="3"/>
  <c r="D95" i="3"/>
  <c r="C95" i="3"/>
  <c r="B95" i="3"/>
  <c r="A95" i="3"/>
  <c r="L94" i="3"/>
  <c r="K94" i="3"/>
  <c r="J94" i="3"/>
  <c r="I94" i="3"/>
  <c r="H94" i="3"/>
  <c r="G94" i="3"/>
  <c r="F94" i="3"/>
  <c r="E94" i="3"/>
  <c r="D94" i="3"/>
  <c r="C94" i="3"/>
  <c r="B94" i="3"/>
  <c r="A94" i="3"/>
  <c r="L93" i="3"/>
  <c r="K93" i="3"/>
  <c r="J93" i="3"/>
  <c r="I93" i="3"/>
  <c r="H93" i="3"/>
  <c r="G93" i="3"/>
  <c r="F93" i="3"/>
  <c r="E93" i="3"/>
  <c r="D93" i="3"/>
  <c r="C93" i="3"/>
  <c r="B93" i="3"/>
  <c r="A93" i="3"/>
  <c r="L92" i="3"/>
  <c r="K92" i="3"/>
  <c r="J92" i="3"/>
  <c r="I92" i="3"/>
  <c r="H92" i="3"/>
  <c r="G92" i="3"/>
  <c r="F92" i="3"/>
  <c r="E92" i="3"/>
  <c r="D92" i="3"/>
  <c r="C92" i="3"/>
  <c r="B92" i="3"/>
  <c r="A92" i="3"/>
  <c r="L91" i="3"/>
  <c r="K91" i="3"/>
  <c r="J91" i="3"/>
  <c r="I91" i="3"/>
  <c r="H91" i="3"/>
  <c r="G91" i="3"/>
  <c r="F91" i="3"/>
  <c r="E91" i="3"/>
  <c r="D91" i="3"/>
  <c r="C91" i="3"/>
  <c r="B91" i="3"/>
  <c r="A91" i="3"/>
  <c r="L90" i="3"/>
  <c r="K90" i="3"/>
  <c r="J90" i="3"/>
  <c r="I90" i="3"/>
  <c r="H90" i="3"/>
  <c r="G90" i="3"/>
  <c r="F90" i="3"/>
  <c r="E90" i="3"/>
  <c r="D90" i="3"/>
  <c r="C90" i="3"/>
  <c r="B90" i="3"/>
  <c r="A90" i="3"/>
  <c r="L89" i="3"/>
  <c r="K89" i="3"/>
  <c r="J89" i="3"/>
  <c r="I89" i="3"/>
  <c r="H89" i="3"/>
  <c r="G89" i="3"/>
  <c r="F89" i="3"/>
  <c r="E89" i="3"/>
  <c r="D89" i="3"/>
  <c r="C89" i="3"/>
  <c r="B89" i="3"/>
  <c r="A89" i="3"/>
  <c r="L88" i="3"/>
  <c r="K88" i="3"/>
  <c r="J88" i="3"/>
  <c r="I88" i="3"/>
  <c r="H88" i="3"/>
  <c r="G88" i="3"/>
  <c r="F88" i="3"/>
  <c r="E88" i="3"/>
  <c r="D88" i="3"/>
  <c r="C88" i="3"/>
  <c r="B88" i="3"/>
  <c r="A88" i="3"/>
  <c r="L87" i="3"/>
  <c r="K87" i="3"/>
  <c r="J87" i="3"/>
  <c r="I87" i="3"/>
  <c r="H87" i="3"/>
  <c r="G87" i="3"/>
  <c r="F87" i="3"/>
  <c r="E87" i="3"/>
  <c r="D87" i="3"/>
  <c r="C87" i="3"/>
  <c r="B87" i="3"/>
  <c r="A87" i="3"/>
  <c r="L86" i="3"/>
  <c r="K86" i="3"/>
  <c r="J86" i="3"/>
  <c r="I86" i="3"/>
  <c r="H86" i="3"/>
  <c r="G86" i="3"/>
  <c r="F86" i="3"/>
  <c r="E86" i="3"/>
  <c r="D86" i="3"/>
  <c r="C86" i="3"/>
  <c r="B86" i="3"/>
  <c r="A86" i="3"/>
  <c r="L85" i="3"/>
  <c r="K85" i="3"/>
  <c r="J85" i="3"/>
  <c r="I85" i="3"/>
  <c r="H85" i="3"/>
  <c r="G85" i="3"/>
  <c r="F85" i="3"/>
  <c r="E85" i="3"/>
  <c r="D85" i="3"/>
  <c r="C85" i="3"/>
  <c r="B85" i="3"/>
  <c r="A85" i="3"/>
  <c r="B87" i="4" s="1"/>
  <c r="L84" i="3"/>
  <c r="K84" i="3"/>
  <c r="J84" i="3"/>
  <c r="I84" i="3"/>
  <c r="H84" i="3"/>
  <c r="G84" i="3"/>
  <c r="F84" i="3"/>
  <c r="E84" i="3"/>
  <c r="D84" i="3"/>
  <c r="C84" i="3"/>
  <c r="B84" i="3"/>
  <c r="A84" i="3"/>
  <c r="L83" i="3"/>
  <c r="K83" i="3"/>
  <c r="J83" i="3"/>
  <c r="I83" i="3"/>
  <c r="H83" i="3"/>
  <c r="G83" i="3"/>
  <c r="F83" i="3"/>
  <c r="E83" i="3"/>
  <c r="D83" i="3"/>
  <c r="C83" i="3"/>
  <c r="B83" i="3"/>
  <c r="A83" i="3"/>
  <c r="T83" i="3" s="1"/>
  <c r="L82" i="3"/>
  <c r="K82" i="3"/>
  <c r="J82" i="3"/>
  <c r="I82" i="3"/>
  <c r="H82" i="3"/>
  <c r="G82" i="3"/>
  <c r="F82" i="3"/>
  <c r="E82" i="3"/>
  <c r="D82" i="3"/>
  <c r="C82" i="3"/>
  <c r="B82" i="3"/>
  <c r="A82" i="3"/>
  <c r="B84" i="4" s="1"/>
  <c r="L81" i="3"/>
  <c r="K81" i="3"/>
  <c r="J81" i="3"/>
  <c r="I81" i="3"/>
  <c r="H81" i="3"/>
  <c r="G81" i="3"/>
  <c r="F81" i="3"/>
  <c r="E81" i="3"/>
  <c r="D81" i="3"/>
  <c r="C81" i="3"/>
  <c r="B81" i="3"/>
  <c r="A81" i="3"/>
  <c r="K83" i="4" s="1"/>
  <c r="L80" i="3"/>
  <c r="K80" i="3"/>
  <c r="J80" i="3"/>
  <c r="I80" i="3"/>
  <c r="H80" i="3"/>
  <c r="G80" i="3"/>
  <c r="F80" i="3"/>
  <c r="E80" i="3"/>
  <c r="D80" i="3"/>
  <c r="C80" i="3"/>
  <c r="B80" i="3"/>
  <c r="A80" i="3"/>
  <c r="T79" i="3"/>
  <c r="L79" i="3"/>
  <c r="K79" i="3"/>
  <c r="J79" i="3"/>
  <c r="I79" i="3"/>
  <c r="H79" i="3"/>
  <c r="G79" i="3"/>
  <c r="F79" i="3"/>
  <c r="E79" i="3"/>
  <c r="D79" i="3"/>
  <c r="C79" i="3"/>
  <c r="B79" i="3"/>
  <c r="A79" i="3"/>
  <c r="R79" i="3" s="1"/>
  <c r="L78" i="3"/>
  <c r="K78" i="3"/>
  <c r="J78" i="3"/>
  <c r="I78" i="3"/>
  <c r="H78" i="3"/>
  <c r="G78" i="3"/>
  <c r="F78" i="3"/>
  <c r="E78" i="3"/>
  <c r="D78" i="3"/>
  <c r="C78" i="3"/>
  <c r="B78" i="3"/>
  <c r="A78" i="3"/>
  <c r="L77" i="3"/>
  <c r="K77" i="3"/>
  <c r="J77" i="3"/>
  <c r="I77" i="3"/>
  <c r="H77" i="3"/>
  <c r="G77" i="3"/>
  <c r="F77" i="3"/>
  <c r="E77" i="3"/>
  <c r="D77" i="3"/>
  <c r="C77" i="3"/>
  <c r="B77" i="3"/>
  <c r="A77" i="3"/>
  <c r="D79" i="4" s="1"/>
  <c r="L76" i="3"/>
  <c r="K76" i="3"/>
  <c r="J76" i="3"/>
  <c r="I76" i="3"/>
  <c r="H76" i="3"/>
  <c r="G76" i="3"/>
  <c r="F76" i="3"/>
  <c r="E76" i="3"/>
  <c r="D76" i="3"/>
  <c r="C76" i="3"/>
  <c r="B76" i="3"/>
  <c r="A76" i="3"/>
  <c r="L75" i="3"/>
  <c r="K75" i="3"/>
  <c r="J75" i="3"/>
  <c r="I75" i="3"/>
  <c r="H75" i="3"/>
  <c r="G75" i="3"/>
  <c r="F75" i="3"/>
  <c r="E75" i="3"/>
  <c r="D75" i="3"/>
  <c r="C75" i="3"/>
  <c r="B75" i="3"/>
  <c r="A75" i="3"/>
  <c r="J77" i="4" s="1"/>
  <c r="L74" i="3"/>
  <c r="K74" i="3"/>
  <c r="J74" i="3"/>
  <c r="I74" i="3"/>
  <c r="H74" i="3"/>
  <c r="G74" i="3"/>
  <c r="F74" i="3"/>
  <c r="E74" i="3"/>
  <c r="D74" i="3"/>
  <c r="C74" i="3"/>
  <c r="B74" i="3"/>
  <c r="A74" i="3"/>
  <c r="D76" i="4" s="1"/>
  <c r="L73" i="3"/>
  <c r="K73" i="3"/>
  <c r="J73" i="3"/>
  <c r="I73" i="3"/>
  <c r="H73" i="3"/>
  <c r="G73" i="3"/>
  <c r="F73" i="3"/>
  <c r="E73" i="3"/>
  <c r="D73" i="3"/>
  <c r="C73" i="3"/>
  <c r="B73" i="3"/>
  <c r="A73" i="3"/>
  <c r="L72" i="3"/>
  <c r="K72" i="3"/>
  <c r="J72" i="3"/>
  <c r="I72" i="3"/>
  <c r="H72" i="3"/>
  <c r="G72" i="3"/>
  <c r="F72" i="3"/>
  <c r="E72" i="3"/>
  <c r="D72" i="3"/>
  <c r="C72" i="3"/>
  <c r="B72" i="3"/>
  <c r="A72" i="3"/>
  <c r="I74" i="4" s="1"/>
  <c r="L71" i="3"/>
  <c r="K71" i="3"/>
  <c r="J71" i="3"/>
  <c r="I71" i="3"/>
  <c r="H71" i="3"/>
  <c r="G71" i="3"/>
  <c r="F71" i="3"/>
  <c r="E71" i="3"/>
  <c r="D71" i="3"/>
  <c r="C71" i="3"/>
  <c r="B71" i="3"/>
  <c r="A71" i="3"/>
  <c r="A73" i="4" s="1"/>
  <c r="L73" i="4" s="1"/>
  <c r="L70" i="3"/>
  <c r="K70" i="3"/>
  <c r="J70" i="3"/>
  <c r="I70" i="3"/>
  <c r="H70" i="3"/>
  <c r="G70" i="3"/>
  <c r="F70" i="3"/>
  <c r="E70" i="3"/>
  <c r="D70" i="3"/>
  <c r="C70" i="3"/>
  <c r="B70" i="3"/>
  <c r="A70" i="3"/>
  <c r="L69" i="3"/>
  <c r="K69" i="3"/>
  <c r="J69" i="3"/>
  <c r="I69" i="3"/>
  <c r="H69" i="3"/>
  <c r="G69" i="3"/>
  <c r="F69" i="3"/>
  <c r="E69" i="3"/>
  <c r="D69" i="3"/>
  <c r="C69" i="3"/>
  <c r="B69" i="3"/>
  <c r="A69" i="3"/>
  <c r="J71" i="4" s="1"/>
  <c r="L68" i="3"/>
  <c r="K68" i="3"/>
  <c r="J68" i="3"/>
  <c r="I68" i="3"/>
  <c r="H68" i="3"/>
  <c r="G68" i="3"/>
  <c r="F68" i="3"/>
  <c r="E68" i="3"/>
  <c r="D68" i="3"/>
  <c r="C68" i="3"/>
  <c r="B68" i="3"/>
  <c r="A68" i="3"/>
  <c r="K70" i="4" s="1"/>
  <c r="S67" i="3"/>
  <c r="L67" i="3"/>
  <c r="K67" i="3"/>
  <c r="J67" i="3"/>
  <c r="I67" i="3"/>
  <c r="H67" i="3"/>
  <c r="G67" i="3"/>
  <c r="F67" i="3"/>
  <c r="E67" i="3"/>
  <c r="D67" i="3"/>
  <c r="C67" i="3"/>
  <c r="B67" i="3"/>
  <c r="A67" i="3"/>
  <c r="L66" i="3"/>
  <c r="K66" i="3"/>
  <c r="J66" i="3"/>
  <c r="I66" i="3"/>
  <c r="H66" i="3"/>
  <c r="G66" i="3"/>
  <c r="F66" i="3"/>
  <c r="E66" i="3"/>
  <c r="D66" i="3"/>
  <c r="C66" i="3"/>
  <c r="B66" i="3"/>
  <c r="A66" i="3"/>
  <c r="L65" i="3"/>
  <c r="K65" i="3"/>
  <c r="J65" i="3"/>
  <c r="I65" i="3"/>
  <c r="H65" i="3"/>
  <c r="G65" i="3"/>
  <c r="F65" i="3"/>
  <c r="E65" i="3"/>
  <c r="D65" i="3"/>
  <c r="C65" i="3"/>
  <c r="B65" i="3"/>
  <c r="A65" i="3"/>
  <c r="A67" i="4" s="1"/>
  <c r="L64" i="3"/>
  <c r="K64" i="3"/>
  <c r="J64" i="3"/>
  <c r="I64" i="3"/>
  <c r="H64" i="3"/>
  <c r="G64" i="3"/>
  <c r="F64" i="3"/>
  <c r="E64" i="3"/>
  <c r="D64" i="3"/>
  <c r="C64" i="3"/>
  <c r="B64" i="3"/>
  <c r="A64" i="3"/>
  <c r="B66" i="4" s="1"/>
  <c r="L63" i="3"/>
  <c r="K63" i="3"/>
  <c r="J63" i="3"/>
  <c r="I63" i="3"/>
  <c r="H63" i="3"/>
  <c r="G63" i="3"/>
  <c r="F63" i="3"/>
  <c r="E63" i="3"/>
  <c r="D63" i="3"/>
  <c r="C63" i="3"/>
  <c r="B63" i="3"/>
  <c r="A63" i="3"/>
  <c r="L62" i="3"/>
  <c r="K62" i="3"/>
  <c r="J62" i="3"/>
  <c r="I62" i="3"/>
  <c r="H62" i="3"/>
  <c r="G62" i="3"/>
  <c r="F62" i="3"/>
  <c r="E62" i="3"/>
  <c r="D62" i="3"/>
  <c r="C62" i="3"/>
  <c r="B62" i="3"/>
  <c r="A62" i="3"/>
  <c r="L61" i="3"/>
  <c r="K61" i="3"/>
  <c r="J61" i="3"/>
  <c r="I61" i="3"/>
  <c r="H61" i="3"/>
  <c r="G61" i="3"/>
  <c r="F61" i="3"/>
  <c r="E61" i="3"/>
  <c r="D61" i="3"/>
  <c r="C61" i="3"/>
  <c r="B61" i="3"/>
  <c r="A61" i="3"/>
  <c r="L60" i="3"/>
  <c r="K60" i="3"/>
  <c r="J60" i="3"/>
  <c r="I60" i="3"/>
  <c r="H60" i="3"/>
  <c r="G60" i="3"/>
  <c r="F60" i="3"/>
  <c r="E60" i="3"/>
  <c r="D60" i="3"/>
  <c r="C60" i="3"/>
  <c r="B60" i="3"/>
  <c r="A60" i="3"/>
  <c r="L59" i="3"/>
  <c r="K59" i="3"/>
  <c r="J59" i="3"/>
  <c r="I59" i="3"/>
  <c r="H59" i="3"/>
  <c r="G59" i="3"/>
  <c r="F59" i="3"/>
  <c r="E59" i="3"/>
  <c r="D59" i="3"/>
  <c r="C59" i="3"/>
  <c r="B59" i="3"/>
  <c r="A59" i="3"/>
  <c r="L58" i="3"/>
  <c r="K58" i="3"/>
  <c r="J58" i="3"/>
  <c r="I58" i="3"/>
  <c r="H58" i="3"/>
  <c r="G58" i="3"/>
  <c r="F58" i="3"/>
  <c r="E58" i="3"/>
  <c r="D58" i="3"/>
  <c r="C58" i="3"/>
  <c r="B58" i="3"/>
  <c r="A58" i="3"/>
  <c r="L57" i="3"/>
  <c r="K57" i="3"/>
  <c r="J57" i="3"/>
  <c r="I57" i="3"/>
  <c r="H57" i="3"/>
  <c r="G57" i="3"/>
  <c r="F57" i="3"/>
  <c r="E57" i="3"/>
  <c r="D57" i="3"/>
  <c r="C57" i="3"/>
  <c r="B57" i="3"/>
  <c r="A57" i="3"/>
  <c r="L56" i="3"/>
  <c r="K56" i="3"/>
  <c r="J56" i="3"/>
  <c r="I56" i="3"/>
  <c r="H56" i="3"/>
  <c r="G56" i="3"/>
  <c r="F56" i="3"/>
  <c r="E56" i="3"/>
  <c r="D56" i="3"/>
  <c r="C56" i="3"/>
  <c r="B56" i="3"/>
  <c r="A56" i="3"/>
  <c r="L55" i="3"/>
  <c r="K55" i="3"/>
  <c r="J55" i="3"/>
  <c r="I55" i="3"/>
  <c r="H55" i="3"/>
  <c r="G55" i="3"/>
  <c r="F55" i="3"/>
  <c r="E55" i="3"/>
  <c r="D55" i="3"/>
  <c r="C55" i="3"/>
  <c r="B55" i="3"/>
  <c r="A55" i="3"/>
  <c r="L54" i="3"/>
  <c r="K54" i="3"/>
  <c r="J54" i="3"/>
  <c r="I54" i="3"/>
  <c r="H54" i="3"/>
  <c r="G54" i="3"/>
  <c r="F54" i="3"/>
  <c r="E54" i="3"/>
  <c r="D54" i="3"/>
  <c r="C54" i="3"/>
  <c r="B54" i="3"/>
  <c r="A54" i="3"/>
  <c r="L53" i="3"/>
  <c r="K53" i="3"/>
  <c r="J53" i="3"/>
  <c r="I53" i="3"/>
  <c r="H53" i="3"/>
  <c r="G53" i="3"/>
  <c r="F53" i="3"/>
  <c r="E53" i="3"/>
  <c r="D53" i="3"/>
  <c r="C53" i="3"/>
  <c r="B53" i="3"/>
  <c r="A53" i="3"/>
  <c r="L52" i="3"/>
  <c r="K52" i="3"/>
  <c r="J52" i="3"/>
  <c r="I52" i="3"/>
  <c r="H52" i="3"/>
  <c r="G52" i="3"/>
  <c r="F52" i="3"/>
  <c r="E52" i="3"/>
  <c r="D52" i="3"/>
  <c r="C52" i="3"/>
  <c r="B52" i="3"/>
  <c r="A52" i="3"/>
  <c r="L51" i="3"/>
  <c r="K51" i="3"/>
  <c r="J51" i="3"/>
  <c r="I51" i="3"/>
  <c r="H51" i="3"/>
  <c r="G51" i="3"/>
  <c r="F51" i="3"/>
  <c r="E51" i="3"/>
  <c r="D51" i="3"/>
  <c r="C51" i="3"/>
  <c r="B51" i="3"/>
  <c r="A51" i="3"/>
  <c r="L50" i="3"/>
  <c r="K50" i="3"/>
  <c r="J50" i="3"/>
  <c r="I50" i="3"/>
  <c r="H50" i="3"/>
  <c r="G50" i="3"/>
  <c r="F50" i="3"/>
  <c r="E50" i="3"/>
  <c r="D50" i="3"/>
  <c r="C50" i="3"/>
  <c r="B50" i="3"/>
  <c r="A50" i="3"/>
  <c r="L49" i="3"/>
  <c r="K49" i="3"/>
  <c r="J49" i="3"/>
  <c r="I49" i="3"/>
  <c r="H49" i="3"/>
  <c r="G49" i="3"/>
  <c r="F49" i="3"/>
  <c r="E49" i="3"/>
  <c r="D49" i="3"/>
  <c r="C49" i="3"/>
  <c r="B49" i="3"/>
  <c r="A49" i="3"/>
  <c r="R49" i="3" s="1"/>
  <c r="L48" i="3"/>
  <c r="K48" i="3"/>
  <c r="J48" i="3"/>
  <c r="I48" i="3"/>
  <c r="H48" i="3"/>
  <c r="G48" i="3"/>
  <c r="F48" i="3"/>
  <c r="E48" i="3"/>
  <c r="D48" i="3"/>
  <c r="C48" i="3"/>
  <c r="B48" i="3"/>
  <c r="A48" i="3"/>
  <c r="L47" i="3"/>
  <c r="K47" i="3"/>
  <c r="J47" i="3"/>
  <c r="I47" i="3"/>
  <c r="H47" i="3"/>
  <c r="G47" i="3"/>
  <c r="F47" i="3"/>
  <c r="E47" i="3"/>
  <c r="D47" i="3"/>
  <c r="C47" i="3"/>
  <c r="B47" i="3"/>
  <c r="A47" i="3"/>
  <c r="L46" i="3"/>
  <c r="K46" i="3"/>
  <c r="J46" i="3"/>
  <c r="I46" i="3"/>
  <c r="H46" i="3"/>
  <c r="G46" i="3"/>
  <c r="F46" i="3"/>
  <c r="E46" i="3"/>
  <c r="D46" i="3"/>
  <c r="C46" i="3"/>
  <c r="B46" i="3"/>
  <c r="A46" i="3"/>
  <c r="L45" i="3"/>
  <c r="K45" i="3"/>
  <c r="J45" i="3"/>
  <c r="I45" i="3"/>
  <c r="H45" i="3"/>
  <c r="G45" i="3"/>
  <c r="F45" i="3"/>
  <c r="E45" i="3"/>
  <c r="D45" i="3"/>
  <c r="C45" i="3"/>
  <c r="B45" i="3"/>
  <c r="A45" i="3"/>
  <c r="D47" i="4" s="1"/>
  <c r="L44" i="3"/>
  <c r="K44" i="3"/>
  <c r="J44" i="3"/>
  <c r="I44" i="3"/>
  <c r="H44" i="3"/>
  <c r="G44" i="3"/>
  <c r="F44" i="3"/>
  <c r="E44" i="3"/>
  <c r="D44" i="3"/>
  <c r="C44" i="3"/>
  <c r="B44" i="3"/>
  <c r="A44" i="3"/>
  <c r="J46" i="4" s="1"/>
  <c r="L43" i="3"/>
  <c r="K43" i="3"/>
  <c r="J43" i="3"/>
  <c r="I43" i="3"/>
  <c r="H43" i="3"/>
  <c r="G43" i="3"/>
  <c r="F43" i="3"/>
  <c r="E43" i="3"/>
  <c r="D43" i="3"/>
  <c r="C43" i="3"/>
  <c r="B43" i="3"/>
  <c r="A43" i="3"/>
  <c r="R43" i="3" s="1"/>
  <c r="L42" i="3"/>
  <c r="K42" i="3"/>
  <c r="J42" i="3"/>
  <c r="I42" i="3"/>
  <c r="H42" i="3"/>
  <c r="G42" i="3"/>
  <c r="F42" i="3"/>
  <c r="E42" i="3"/>
  <c r="D42" i="3"/>
  <c r="C42" i="3"/>
  <c r="B42" i="3"/>
  <c r="A42" i="3"/>
  <c r="I44" i="4" s="1"/>
  <c r="L41" i="3"/>
  <c r="K41" i="3"/>
  <c r="J41" i="3"/>
  <c r="I41" i="3"/>
  <c r="H41" i="3"/>
  <c r="G41" i="3"/>
  <c r="F41" i="3"/>
  <c r="E41" i="3"/>
  <c r="D41" i="3"/>
  <c r="C41" i="3"/>
  <c r="B41" i="3"/>
  <c r="A41" i="3"/>
  <c r="S41" i="3" s="1"/>
  <c r="L40" i="3"/>
  <c r="K40" i="3"/>
  <c r="J40" i="3"/>
  <c r="I40" i="3"/>
  <c r="H40" i="3"/>
  <c r="G40" i="3"/>
  <c r="F40" i="3"/>
  <c r="E40" i="3"/>
  <c r="D40" i="3"/>
  <c r="C40" i="3"/>
  <c r="B40" i="3"/>
  <c r="A40" i="3"/>
  <c r="L39" i="3"/>
  <c r="K39" i="3"/>
  <c r="J39" i="3"/>
  <c r="I39" i="3"/>
  <c r="H39" i="3"/>
  <c r="G39" i="3"/>
  <c r="F39" i="3"/>
  <c r="E39" i="3"/>
  <c r="D39" i="3"/>
  <c r="C39" i="3"/>
  <c r="B39" i="3"/>
  <c r="A39" i="3"/>
  <c r="L38" i="3"/>
  <c r="K38" i="3"/>
  <c r="J38" i="3"/>
  <c r="I38" i="3"/>
  <c r="H38" i="3"/>
  <c r="G38" i="3"/>
  <c r="F38" i="3"/>
  <c r="E38" i="3"/>
  <c r="D38" i="3"/>
  <c r="C38" i="3"/>
  <c r="B38" i="3"/>
  <c r="A38" i="3"/>
  <c r="L37" i="3"/>
  <c r="K37" i="3"/>
  <c r="J37" i="3"/>
  <c r="I37" i="3"/>
  <c r="H37" i="3"/>
  <c r="G37" i="3"/>
  <c r="F37" i="3"/>
  <c r="E37" i="3"/>
  <c r="D37" i="3"/>
  <c r="C37" i="3"/>
  <c r="B37" i="3"/>
  <c r="A37" i="3"/>
  <c r="L36" i="3"/>
  <c r="K36" i="3"/>
  <c r="J36" i="3"/>
  <c r="I36" i="3"/>
  <c r="H36" i="3"/>
  <c r="G36" i="3"/>
  <c r="F36" i="3"/>
  <c r="E36" i="3"/>
  <c r="D36" i="3"/>
  <c r="C36" i="3"/>
  <c r="B36" i="3"/>
  <c r="A36" i="3"/>
  <c r="L35" i="3"/>
  <c r="K35" i="3"/>
  <c r="J35" i="3"/>
  <c r="I35" i="3"/>
  <c r="H35" i="3"/>
  <c r="G35" i="3"/>
  <c r="F35" i="3"/>
  <c r="E35" i="3"/>
  <c r="D35" i="3"/>
  <c r="C35" i="3"/>
  <c r="B35" i="3"/>
  <c r="A35" i="3"/>
  <c r="G37" i="4" s="1"/>
  <c r="L34" i="3"/>
  <c r="K34" i="3"/>
  <c r="J34" i="3"/>
  <c r="I34" i="3"/>
  <c r="H34" i="3"/>
  <c r="G34" i="3"/>
  <c r="F34" i="3"/>
  <c r="E34" i="3"/>
  <c r="D34" i="3"/>
  <c r="C34" i="3"/>
  <c r="B34" i="3"/>
  <c r="A34" i="3"/>
  <c r="G36" i="4" s="1"/>
  <c r="L33" i="3"/>
  <c r="K33" i="3"/>
  <c r="J33" i="3"/>
  <c r="I33" i="3"/>
  <c r="H33" i="3"/>
  <c r="G33" i="3"/>
  <c r="F33" i="3"/>
  <c r="E33" i="3"/>
  <c r="D33" i="3"/>
  <c r="C33" i="3"/>
  <c r="B33" i="3"/>
  <c r="A33" i="3"/>
  <c r="K35" i="4" s="1"/>
  <c r="L32" i="3"/>
  <c r="K32" i="3"/>
  <c r="J32" i="3"/>
  <c r="I32" i="3"/>
  <c r="H32" i="3"/>
  <c r="G32" i="3"/>
  <c r="F32" i="3"/>
  <c r="E32" i="3"/>
  <c r="D32" i="3"/>
  <c r="C32" i="3"/>
  <c r="B32" i="3"/>
  <c r="A32" i="3"/>
  <c r="L31" i="3"/>
  <c r="K31" i="3"/>
  <c r="J31" i="3"/>
  <c r="I31" i="3"/>
  <c r="H31" i="3"/>
  <c r="G31" i="3"/>
  <c r="F31" i="3"/>
  <c r="E31" i="3"/>
  <c r="D31" i="3"/>
  <c r="C31" i="3"/>
  <c r="B31" i="3"/>
  <c r="A31" i="3"/>
  <c r="K33" i="4" s="1"/>
  <c r="L30" i="3"/>
  <c r="K30" i="3"/>
  <c r="J30" i="3"/>
  <c r="I30" i="3"/>
  <c r="H30" i="3"/>
  <c r="G30" i="3"/>
  <c r="F30" i="3"/>
  <c r="E30" i="3"/>
  <c r="D30" i="3"/>
  <c r="C30" i="3"/>
  <c r="B30" i="3"/>
  <c r="A30" i="3"/>
  <c r="L29" i="3"/>
  <c r="K29" i="3"/>
  <c r="J29" i="3"/>
  <c r="I29" i="3"/>
  <c r="H29" i="3"/>
  <c r="G29" i="3"/>
  <c r="F29" i="3"/>
  <c r="E29" i="3"/>
  <c r="D29" i="3"/>
  <c r="C29" i="3"/>
  <c r="B29" i="3"/>
  <c r="A29" i="3"/>
  <c r="G31" i="4" s="1"/>
  <c r="L28" i="3"/>
  <c r="K28" i="3"/>
  <c r="J28" i="3"/>
  <c r="I28" i="3"/>
  <c r="H28" i="3"/>
  <c r="G28" i="3"/>
  <c r="F28" i="3"/>
  <c r="E28" i="3"/>
  <c r="D28" i="3"/>
  <c r="C28" i="3"/>
  <c r="B28" i="3"/>
  <c r="A28" i="3"/>
  <c r="L27" i="3"/>
  <c r="K27" i="3"/>
  <c r="J27" i="3"/>
  <c r="I27" i="3"/>
  <c r="H27" i="3"/>
  <c r="G27" i="3"/>
  <c r="F27" i="3"/>
  <c r="E27" i="3"/>
  <c r="D27" i="3"/>
  <c r="C27" i="3"/>
  <c r="B27" i="3"/>
  <c r="A27" i="3"/>
  <c r="L26" i="3"/>
  <c r="K26" i="3"/>
  <c r="J26" i="3"/>
  <c r="I26" i="3"/>
  <c r="H26" i="3"/>
  <c r="G26" i="3"/>
  <c r="F26" i="3"/>
  <c r="E26" i="3"/>
  <c r="D26" i="3"/>
  <c r="C26" i="3"/>
  <c r="B26" i="3"/>
  <c r="A26" i="3"/>
  <c r="K28" i="4" s="1"/>
  <c r="L25" i="3"/>
  <c r="K25" i="3"/>
  <c r="J25" i="3"/>
  <c r="I25" i="3"/>
  <c r="H25" i="3"/>
  <c r="G25" i="3"/>
  <c r="F25" i="3"/>
  <c r="E25" i="3"/>
  <c r="D25" i="3"/>
  <c r="C25" i="3"/>
  <c r="C27" i="4" s="1"/>
  <c r="AI27" i="4" s="1"/>
  <c r="B25" i="3"/>
  <c r="A25" i="3"/>
  <c r="L24" i="3"/>
  <c r="K24" i="3"/>
  <c r="J24" i="3"/>
  <c r="I24" i="3"/>
  <c r="H24" i="3"/>
  <c r="G24" i="3"/>
  <c r="F24" i="3"/>
  <c r="E24" i="3"/>
  <c r="D24" i="3"/>
  <c r="C24" i="3"/>
  <c r="B24" i="3"/>
  <c r="A24" i="3"/>
  <c r="L23" i="3"/>
  <c r="K23" i="3"/>
  <c r="J23" i="3"/>
  <c r="I23" i="3"/>
  <c r="H23" i="3"/>
  <c r="G23" i="3"/>
  <c r="F23" i="3"/>
  <c r="E23" i="3"/>
  <c r="D23" i="3"/>
  <c r="C23" i="3"/>
  <c r="B23" i="3"/>
  <c r="A23" i="3"/>
  <c r="J25" i="4" s="1"/>
  <c r="L22" i="3"/>
  <c r="K22" i="3"/>
  <c r="J22" i="3"/>
  <c r="I22" i="3"/>
  <c r="H22" i="3"/>
  <c r="G22" i="3"/>
  <c r="F22" i="3"/>
  <c r="E22" i="3"/>
  <c r="D22" i="3"/>
  <c r="C22" i="3"/>
  <c r="B22" i="3"/>
  <c r="A22" i="3"/>
  <c r="R22" i="3" s="1"/>
  <c r="L21" i="3"/>
  <c r="J21" i="3"/>
  <c r="I21" i="3"/>
  <c r="H21" i="3"/>
  <c r="G21" i="3"/>
  <c r="F23" i="4" s="1"/>
  <c r="F21" i="3"/>
  <c r="E21" i="3"/>
  <c r="D21" i="3"/>
  <c r="C21" i="3"/>
  <c r="B21" i="3"/>
  <c r="A21" i="3"/>
  <c r="L20" i="3"/>
  <c r="K20" i="3"/>
  <c r="J20" i="3"/>
  <c r="I20" i="3"/>
  <c r="H20" i="3"/>
  <c r="G20" i="3"/>
  <c r="F20" i="3"/>
  <c r="E20" i="3"/>
  <c r="D20" i="3"/>
  <c r="D22" i="4" s="1"/>
  <c r="C20" i="3"/>
  <c r="B20" i="3"/>
  <c r="A20" i="3"/>
  <c r="L19" i="3"/>
  <c r="K19" i="3"/>
  <c r="J19" i="3"/>
  <c r="I19" i="3"/>
  <c r="H19" i="3"/>
  <c r="G19" i="3"/>
  <c r="F19" i="3"/>
  <c r="E19" i="3"/>
  <c r="E21" i="4" s="1"/>
  <c r="AF21" i="4" s="1"/>
  <c r="D19" i="3"/>
  <c r="C19" i="3"/>
  <c r="B19" i="3"/>
  <c r="A19" i="3"/>
  <c r="L18" i="3"/>
  <c r="K18" i="3"/>
  <c r="J18" i="3"/>
  <c r="I18" i="3"/>
  <c r="H18" i="3"/>
  <c r="G18" i="3"/>
  <c r="F18" i="3"/>
  <c r="E18" i="3"/>
  <c r="E20" i="4" s="1"/>
  <c r="AF20" i="4" s="1"/>
  <c r="D18" i="3"/>
  <c r="C18" i="3"/>
  <c r="B18" i="3"/>
  <c r="A18" i="3"/>
  <c r="L17" i="3"/>
  <c r="K17" i="3"/>
  <c r="J17" i="3"/>
  <c r="I17" i="3"/>
  <c r="H17" i="3"/>
  <c r="G17" i="3"/>
  <c r="F17" i="3"/>
  <c r="E17" i="3"/>
  <c r="D17" i="3"/>
  <c r="C17" i="3"/>
  <c r="B17" i="3"/>
  <c r="A17" i="3"/>
  <c r="L16" i="3"/>
  <c r="K16" i="3"/>
  <c r="J16" i="3"/>
  <c r="I16" i="3"/>
  <c r="H16" i="3"/>
  <c r="G16" i="3"/>
  <c r="F16" i="3"/>
  <c r="E16" i="3"/>
  <c r="D16" i="3"/>
  <c r="C16" i="3"/>
  <c r="B16" i="3"/>
  <c r="A16" i="3"/>
  <c r="L15" i="3"/>
  <c r="K15" i="3"/>
  <c r="J15" i="3"/>
  <c r="I15" i="3"/>
  <c r="H15" i="3"/>
  <c r="G15" i="3"/>
  <c r="F15" i="3"/>
  <c r="E15" i="3"/>
  <c r="D15" i="3"/>
  <c r="D17" i="4" s="1"/>
  <c r="C15" i="3"/>
  <c r="C17" i="4" s="1"/>
  <c r="AI17" i="4" s="1"/>
  <c r="B15" i="3"/>
  <c r="A15" i="3"/>
  <c r="L14" i="3"/>
  <c r="K14" i="3"/>
  <c r="J14" i="3"/>
  <c r="I14" i="3"/>
  <c r="H14" i="3"/>
  <c r="G14" i="3"/>
  <c r="F14" i="3"/>
  <c r="E14" i="3"/>
  <c r="D14" i="3"/>
  <c r="C14" i="3"/>
  <c r="C16" i="4" s="1"/>
  <c r="AI16" i="4" s="1"/>
  <c r="B14" i="3"/>
  <c r="A14" i="3"/>
  <c r="L13" i="3"/>
  <c r="K13" i="3"/>
  <c r="J13" i="3"/>
  <c r="I15" i="4" s="1"/>
  <c r="I13" i="3"/>
  <c r="H13" i="3"/>
  <c r="G13" i="3"/>
  <c r="F13" i="3"/>
  <c r="E13" i="3"/>
  <c r="D13" i="3"/>
  <c r="C13" i="3"/>
  <c r="B13" i="3"/>
  <c r="A13" i="3"/>
  <c r="L12" i="3"/>
  <c r="K12" i="3"/>
  <c r="J12" i="3"/>
  <c r="I12" i="3"/>
  <c r="H12" i="3"/>
  <c r="G12" i="3"/>
  <c r="F12" i="3"/>
  <c r="E12" i="3"/>
  <c r="D12" i="3"/>
  <c r="D14" i="4" s="1"/>
  <c r="C12" i="3"/>
  <c r="C14" i="4" s="1"/>
  <c r="AI14" i="4" s="1"/>
  <c r="B12" i="3"/>
  <c r="A12" i="3"/>
  <c r="L11" i="3"/>
  <c r="K11" i="3"/>
  <c r="J11" i="3"/>
  <c r="I11" i="3"/>
  <c r="H11" i="3"/>
  <c r="G11" i="3"/>
  <c r="F11" i="3"/>
  <c r="E11" i="3"/>
  <c r="D11" i="3"/>
  <c r="C11" i="3"/>
  <c r="B11" i="3"/>
  <c r="A11" i="3"/>
  <c r="L10" i="3"/>
  <c r="K10" i="3"/>
  <c r="J10" i="3"/>
  <c r="I10" i="3"/>
  <c r="G10" i="3"/>
  <c r="F10" i="3"/>
  <c r="E10" i="3"/>
  <c r="D10" i="3"/>
  <c r="C10" i="3"/>
  <c r="B10" i="3"/>
  <c r="A10" i="3"/>
  <c r="L9" i="3"/>
  <c r="K9" i="3"/>
  <c r="J9" i="3"/>
  <c r="I9" i="3"/>
  <c r="H9" i="3"/>
  <c r="G9" i="3"/>
  <c r="F9" i="3"/>
  <c r="E9" i="3"/>
  <c r="D9" i="3"/>
  <c r="C9" i="3"/>
  <c r="B9" i="3"/>
  <c r="A9" i="3"/>
  <c r="F11" i="4" s="1"/>
  <c r="L8" i="3"/>
  <c r="K8" i="3"/>
  <c r="J8" i="3"/>
  <c r="I8" i="3"/>
  <c r="H8" i="3"/>
  <c r="G8" i="3"/>
  <c r="F8" i="3"/>
  <c r="E8" i="3"/>
  <c r="D8" i="3"/>
  <c r="C8" i="3"/>
  <c r="C10" i="4" s="1"/>
  <c r="AI10" i="4" s="1"/>
  <c r="B8" i="3"/>
  <c r="A8" i="3"/>
  <c r="L7" i="3"/>
  <c r="K7" i="3"/>
  <c r="J7" i="3"/>
  <c r="I7" i="3"/>
  <c r="H7" i="3"/>
  <c r="G7" i="3"/>
  <c r="F7" i="3"/>
  <c r="E7" i="3"/>
  <c r="D7" i="3"/>
  <c r="C7" i="3"/>
  <c r="B7" i="3"/>
  <c r="A7" i="3"/>
  <c r="L6" i="3"/>
  <c r="K6" i="3"/>
  <c r="J6" i="3"/>
  <c r="I6" i="3"/>
  <c r="H6" i="3"/>
  <c r="G6" i="3"/>
  <c r="F6" i="3"/>
  <c r="E6" i="3"/>
  <c r="D6" i="3"/>
  <c r="C6" i="3"/>
  <c r="B6" i="3"/>
  <c r="A6" i="3"/>
  <c r="L5" i="3"/>
  <c r="K5" i="3"/>
  <c r="K7" i="4" s="1"/>
  <c r="J5" i="3"/>
  <c r="I5" i="3"/>
  <c r="H5" i="3"/>
  <c r="G5" i="3"/>
  <c r="F5" i="3"/>
  <c r="E5" i="3"/>
  <c r="D5" i="3"/>
  <c r="C5" i="3"/>
  <c r="B5" i="3"/>
  <c r="A5" i="3"/>
  <c r="L4" i="3"/>
  <c r="K4" i="3"/>
  <c r="J4" i="3"/>
  <c r="I4" i="3"/>
  <c r="H4" i="3"/>
  <c r="G4" i="3"/>
  <c r="F4" i="3"/>
  <c r="E4" i="3"/>
  <c r="D4" i="3"/>
  <c r="C4" i="3"/>
  <c r="B4" i="3"/>
  <c r="A4" i="3"/>
  <c r="L3" i="3"/>
  <c r="K3" i="3"/>
  <c r="K5" i="4" s="1"/>
  <c r="J3" i="3"/>
  <c r="I3" i="3"/>
  <c r="H3" i="3"/>
  <c r="G3" i="3"/>
  <c r="F3" i="3"/>
  <c r="E3" i="3"/>
  <c r="D3" i="3"/>
  <c r="C3" i="3"/>
  <c r="B3" i="3"/>
  <c r="A3" i="3"/>
  <c r="L2" i="3"/>
  <c r="K2" i="3"/>
  <c r="J2" i="3"/>
  <c r="I2" i="3"/>
  <c r="H2" i="3"/>
  <c r="G2" i="3"/>
  <c r="F2" i="3"/>
  <c r="E2" i="3"/>
  <c r="D2" i="3"/>
  <c r="C2" i="3"/>
  <c r="C4" i="4" s="1"/>
  <c r="AI4" i="4" s="1"/>
  <c r="B2" i="3"/>
  <c r="A2" i="3"/>
  <c r="K203" i="4"/>
  <c r="J203" i="4"/>
  <c r="I203" i="4"/>
  <c r="G203" i="4"/>
  <c r="F203" i="4"/>
  <c r="E203" i="4"/>
  <c r="AF203" i="4" s="1"/>
  <c r="K202" i="4"/>
  <c r="J202" i="4"/>
  <c r="I202" i="4"/>
  <c r="H202" i="4"/>
  <c r="G202" i="4"/>
  <c r="F202" i="4"/>
  <c r="E202" i="4"/>
  <c r="AF202" i="4" s="1"/>
  <c r="D202" i="4"/>
  <c r="C202" i="4"/>
  <c r="AI202" i="4" s="1"/>
  <c r="B202" i="4"/>
  <c r="A202" i="4"/>
  <c r="L202" i="4" s="1"/>
  <c r="K201" i="4"/>
  <c r="I201" i="4"/>
  <c r="H201" i="4"/>
  <c r="G201" i="4"/>
  <c r="E201" i="4"/>
  <c r="AF201" i="4" s="1"/>
  <c r="D201" i="4"/>
  <c r="C201" i="4"/>
  <c r="AI201" i="4" s="1"/>
  <c r="B201" i="4"/>
  <c r="A201" i="4"/>
  <c r="AJ201" i="4" s="1"/>
  <c r="K200" i="4"/>
  <c r="J200" i="4"/>
  <c r="I200" i="4"/>
  <c r="H200" i="4"/>
  <c r="G200" i="4"/>
  <c r="F200" i="4"/>
  <c r="C200" i="4"/>
  <c r="AI200" i="4" s="1"/>
  <c r="J199" i="4"/>
  <c r="I199" i="4"/>
  <c r="H199" i="4"/>
  <c r="G199" i="4"/>
  <c r="F199" i="4"/>
  <c r="E199" i="4"/>
  <c r="AF199" i="4" s="1"/>
  <c r="D199" i="4"/>
  <c r="C199" i="4"/>
  <c r="AI199" i="4" s="1"/>
  <c r="B199" i="4"/>
  <c r="A199" i="4"/>
  <c r="AJ199" i="4" s="1"/>
  <c r="K198" i="4"/>
  <c r="J198" i="4"/>
  <c r="I198" i="4"/>
  <c r="H198" i="4"/>
  <c r="G198" i="4"/>
  <c r="F198" i="4"/>
  <c r="E198" i="4"/>
  <c r="AF198" i="4" s="1"/>
  <c r="D198" i="4"/>
  <c r="C198" i="4"/>
  <c r="AI198" i="4" s="1"/>
  <c r="B198" i="4"/>
  <c r="K197" i="4"/>
  <c r="E197" i="4"/>
  <c r="AF197" i="4" s="1"/>
  <c r="C197" i="4"/>
  <c r="AI197" i="4" s="1"/>
  <c r="B197" i="4"/>
  <c r="A197" i="4"/>
  <c r="K196" i="4"/>
  <c r="I196" i="4"/>
  <c r="G196" i="4"/>
  <c r="K195" i="4"/>
  <c r="I195" i="4"/>
  <c r="H195" i="4"/>
  <c r="C195" i="4"/>
  <c r="AI195" i="4" s="1"/>
  <c r="B195" i="4"/>
  <c r="A195" i="4"/>
  <c r="E194" i="4"/>
  <c r="AF194" i="4" s="1"/>
  <c r="D194" i="4"/>
  <c r="C194" i="4"/>
  <c r="AI194" i="4" s="1"/>
  <c r="A194" i="4"/>
  <c r="K193" i="4"/>
  <c r="J193" i="4"/>
  <c r="I193" i="4"/>
  <c r="H193" i="4"/>
  <c r="G193" i="4"/>
  <c r="F193" i="4"/>
  <c r="E193" i="4"/>
  <c r="AF193" i="4" s="1"/>
  <c r="D193" i="4"/>
  <c r="C193" i="4"/>
  <c r="AI193" i="4" s="1"/>
  <c r="B193" i="4"/>
  <c r="A193" i="4"/>
  <c r="N193" i="4" s="1"/>
  <c r="K192" i="4"/>
  <c r="J192" i="4"/>
  <c r="I192" i="4"/>
  <c r="H192" i="4"/>
  <c r="G192" i="4"/>
  <c r="F192" i="4"/>
  <c r="C192" i="4"/>
  <c r="AI192" i="4" s="1"/>
  <c r="K191" i="4"/>
  <c r="J191" i="4"/>
  <c r="I191" i="4"/>
  <c r="H191" i="4"/>
  <c r="G191" i="4"/>
  <c r="F191" i="4"/>
  <c r="E191" i="4"/>
  <c r="AF191" i="4" s="1"/>
  <c r="D191" i="4"/>
  <c r="C191" i="4"/>
  <c r="AI191" i="4" s="1"/>
  <c r="A191" i="4"/>
  <c r="L191" i="4" s="1"/>
  <c r="K190" i="4"/>
  <c r="J190" i="4"/>
  <c r="I190" i="4"/>
  <c r="H190" i="4"/>
  <c r="G190" i="4"/>
  <c r="F190" i="4"/>
  <c r="E190" i="4"/>
  <c r="AF190" i="4" s="1"/>
  <c r="A190" i="4"/>
  <c r="W190" i="4" s="1"/>
  <c r="K189" i="4"/>
  <c r="J189" i="4"/>
  <c r="I189" i="4"/>
  <c r="H189" i="4"/>
  <c r="K188" i="4"/>
  <c r="J188" i="4"/>
  <c r="I188" i="4"/>
  <c r="E188" i="4"/>
  <c r="AF188" i="4" s="1"/>
  <c r="D188" i="4"/>
  <c r="B188" i="4"/>
  <c r="J186" i="4"/>
  <c r="D186" i="4"/>
  <c r="C186" i="4"/>
  <c r="AI186" i="4" s="1"/>
  <c r="J185" i="4"/>
  <c r="H184" i="4"/>
  <c r="D184" i="4"/>
  <c r="C184" i="4"/>
  <c r="AI184" i="4" s="1"/>
  <c r="B184" i="4"/>
  <c r="A184" i="4"/>
  <c r="W184" i="4" s="1"/>
  <c r="J181" i="4"/>
  <c r="D181" i="4"/>
  <c r="D180" i="4"/>
  <c r="C180" i="4"/>
  <c r="AI180" i="4" s="1"/>
  <c r="K179" i="4"/>
  <c r="F179" i="4"/>
  <c r="E179" i="4"/>
  <c r="AF179" i="4" s="1"/>
  <c r="D179" i="4"/>
  <c r="C179" i="4"/>
  <c r="AI179" i="4" s="1"/>
  <c r="B179" i="4"/>
  <c r="A179" i="4"/>
  <c r="AH179" i="4" s="1"/>
  <c r="J178" i="4"/>
  <c r="I178" i="4"/>
  <c r="G178" i="4"/>
  <c r="F178" i="4"/>
  <c r="E178" i="4"/>
  <c r="AF178" i="4" s="1"/>
  <c r="D178" i="4"/>
  <c r="C178" i="4"/>
  <c r="AI178" i="4" s="1"/>
  <c r="B178" i="4"/>
  <c r="A178" i="4"/>
  <c r="L178" i="4" s="1"/>
  <c r="K177" i="4"/>
  <c r="J177" i="4"/>
  <c r="G177" i="4"/>
  <c r="F177" i="4"/>
  <c r="E177" i="4"/>
  <c r="AF177" i="4" s="1"/>
  <c r="D177" i="4"/>
  <c r="C177" i="4"/>
  <c r="AI177" i="4" s="1"/>
  <c r="B177" i="4"/>
  <c r="J176" i="4"/>
  <c r="I176" i="4"/>
  <c r="H176" i="4"/>
  <c r="F176" i="4"/>
  <c r="E176" i="4"/>
  <c r="AF176" i="4" s="1"/>
  <c r="D176" i="4"/>
  <c r="A176" i="4"/>
  <c r="J175" i="4"/>
  <c r="H175" i="4"/>
  <c r="G175" i="4"/>
  <c r="E175" i="4"/>
  <c r="AF175" i="4" s="1"/>
  <c r="D175" i="4"/>
  <c r="C175" i="4"/>
  <c r="AI175" i="4" s="1"/>
  <c r="K174" i="4"/>
  <c r="F174" i="4"/>
  <c r="E174" i="4"/>
  <c r="AF174" i="4" s="1"/>
  <c r="C174" i="4"/>
  <c r="AI174" i="4" s="1"/>
  <c r="K173" i="4"/>
  <c r="J173" i="4"/>
  <c r="E173" i="4"/>
  <c r="AF173" i="4" s="1"/>
  <c r="D173" i="4"/>
  <c r="B173" i="4"/>
  <c r="J172" i="4"/>
  <c r="H172" i="4"/>
  <c r="E172" i="4"/>
  <c r="AF172" i="4" s="1"/>
  <c r="D172" i="4"/>
  <c r="C172" i="4"/>
  <c r="AI172" i="4" s="1"/>
  <c r="B172" i="4"/>
  <c r="A172" i="4"/>
  <c r="J171" i="4"/>
  <c r="G171" i="4"/>
  <c r="F171" i="4"/>
  <c r="D171" i="4"/>
  <c r="C171" i="4"/>
  <c r="AI171" i="4" s="1"/>
  <c r="B171" i="4"/>
  <c r="K170" i="4"/>
  <c r="J170" i="4"/>
  <c r="I170" i="4"/>
  <c r="F170" i="4"/>
  <c r="E170" i="4"/>
  <c r="AF170" i="4" s="1"/>
  <c r="C170" i="4"/>
  <c r="AI170" i="4" s="1"/>
  <c r="A170" i="4"/>
  <c r="AC170" i="4" s="1"/>
  <c r="F169" i="4"/>
  <c r="D169" i="4"/>
  <c r="B169" i="4"/>
  <c r="A169" i="4"/>
  <c r="L169" i="4" s="1"/>
  <c r="J168" i="4"/>
  <c r="G168" i="4"/>
  <c r="E168" i="4"/>
  <c r="AF168" i="4" s="1"/>
  <c r="D168" i="4"/>
  <c r="K167" i="4"/>
  <c r="I167" i="4"/>
  <c r="H167" i="4"/>
  <c r="G167" i="4"/>
  <c r="F167" i="4"/>
  <c r="E167" i="4"/>
  <c r="AF167" i="4" s="1"/>
  <c r="D167" i="4"/>
  <c r="C167" i="4"/>
  <c r="AI167" i="4" s="1"/>
  <c r="B167" i="4"/>
  <c r="A167" i="4"/>
  <c r="K166" i="4"/>
  <c r="B164" i="4"/>
  <c r="A164" i="4"/>
  <c r="H163" i="4"/>
  <c r="H161" i="4"/>
  <c r="A161" i="4"/>
  <c r="K160" i="4"/>
  <c r="J160" i="4"/>
  <c r="H160" i="4"/>
  <c r="G160" i="4"/>
  <c r="K159" i="4"/>
  <c r="J159" i="4"/>
  <c r="I159" i="4"/>
  <c r="H159" i="4"/>
  <c r="G159" i="4"/>
  <c r="F159" i="4"/>
  <c r="E159" i="4"/>
  <c r="AF159" i="4" s="1"/>
  <c r="D159" i="4"/>
  <c r="C159" i="4"/>
  <c r="AI159" i="4" s="1"/>
  <c r="B159" i="4"/>
  <c r="A159" i="4"/>
  <c r="L159" i="4" s="1"/>
  <c r="I158" i="4"/>
  <c r="H158" i="4"/>
  <c r="G158" i="4"/>
  <c r="F158" i="4"/>
  <c r="E158" i="4"/>
  <c r="AF158" i="4" s="1"/>
  <c r="D158" i="4"/>
  <c r="C158" i="4"/>
  <c r="AI158" i="4" s="1"/>
  <c r="B158" i="4"/>
  <c r="A158" i="4"/>
  <c r="AJ158" i="4" s="1"/>
  <c r="K157" i="4"/>
  <c r="J157" i="4"/>
  <c r="H157" i="4"/>
  <c r="G157" i="4"/>
  <c r="F157" i="4"/>
  <c r="E157" i="4"/>
  <c r="AF157" i="4" s="1"/>
  <c r="D157" i="4"/>
  <c r="C157" i="4"/>
  <c r="AI157" i="4" s="1"/>
  <c r="B157" i="4"/>
  <c r="A157" i="4"/>
  <c r="K156" i="4"/>
  <c r="I156" i="4"/>
  <c r="G156" i="4"/>
  <c r="F156" i="4"/>
  <c r="E156" i="4"/>
  <c r="AF156" i="4" s="1"/>
  <c r="D156" i="4"/>
  <c r="C156" i="4"/>
  <c r="AI156" i="4" s="1"/>
  <c r="A156" i="4"/>
  <c r="E155" i="4"/>
  <c r="AF155" i="4" s="1"/>
  <c r="D155" i="4"/>
  <c r="F154" i="4"/>
  <c r="E154" i="4"/>
  <c r="AF154" i="4" s="1"/>
  <c r="H153" i="4"/>
  <c r="G153" i="4"/>
  <c r="K152" i="4"/>
  <c r="I152" i="4"/>
  <c r="K151" i="4"/>
  <c r="H151" i="4"/>
  <c r="G151" i="4"/>
  <c r="E151" i="4"/>
  <c r="AF151" i="4" s="1"/>
  <c r="D151" i="4"/>
  <c r="C151" i="4"/>
  <c r="AI151" i="4" s="1"/>
  <c r="B151" i="4"/>
  <c r="A151" i="4"/>
  <c r="W151" i="4" s="1"/>
  <c r="I150" i="4"/>
  <c r="H150" i="4"/>
  <c r="F150" i="4"/>
  <c r="E150" i="4"/>
  <c r="AF150" i="4" s="1"/>
  <c r="D150" i="4"/>
  <c r="C150" i="4"/>
  <c r="AI150" i="4" s="1"/>
  <c r="B150" i="4"/>
  <c r="A150" i="4"/>
  <c r="K149" i="4"/>
  <c r="J149" i="4"/>
  <c r="H149" i="4"/>
  <c r="G149" i="4"/>
  <c r="E149" i="4"/>
  <c r="AF149" i="4" s="1"/>
  <c r="C149" i="4"/>
  <c r="AI149" i="4" s="1"/>
  <c r="B149" i="4"/>
  <c r="A149" i="4"/>
  <c r="AJ149" i="4" s="1"/>
  <c r="J148" i="4"/>
  <c r="I148" i="4"/>
  <c r="G148" i="4"/>
  <c r="F148" i="4"/>
  <c r="E148" i="4"/>
  <c r="AF148" i="4" s="1"/>
  <c r="D148" i="4"/>
  <c r="C148" i="4"/>
  <c r="AI148" i="4" s="1"/>
  <c r="B148" i="4"/>
  <c r="A148" i="4"/>
  <c r="L148" i="4" s="1"/>
  <c r="K147" i="4"/>
  <c r="I147" i="4"/>
  <c r="H147" i="4"/>
  <c r="G147" i="4"/>
  <c r="F147" i="4"/>
  <c r="E147" i="4"/>
  <c r="AF147" i="4" s="1"/>
  <c r="D147" i="4"/>
  <c r="C147" i="4"/>
  <c r="AI147" i="4" s="1"/>
  <c r="F146" i="4"/>
  <c r="B146" i="4"/>
  <c r="J145" i="4"/>
  <c r="I145" i="4"/>
  <c r="H145" i="4"/>
  <c r="G145" i="4"/>
  <c r="F145" i="4"/>
  <c r="C145" i="4"/>
  <c r="AI145" i="4" s="1"/>
  <c r="A145" i="4"/>
  <c r="H144" i="4"/>
  <c r="G144" i="4"/>
  <c r="C144" i="4"/>
  <c r="AI144" i="4" s="1"/>
  <c r="B144" i="4"/>
  <c r="K143" i="4"/>
  <c r="J143" i="4"/>
  <c r="I143" i="4"/>
  <c r="H143" i="4"/>
  <c r="G143" i="4"/>
  <c r="F143" i="4"/>
  <c r="E143" i="4"/>
  <c r="AF143" i="4" s="1"/>
  <c r="D143" i="4"/>
  <c r="C143" i="4"/>
  <c r="AI143" i="4" s="1"/>
  <c r="B143" i="4"/>
  <c r="A143" i="4"/>
  <c r="K142" i="4"/>
  <c r="J142" i="4"/>
  <c r="I142" i="4"/>
  <c r="H142" i="4"/>
  <c r="F142" i="4"/>
  <c r="D142" i="4"/>
  <c r="C142" i="4"/>
  <c r="AI142" i="4" s="1"/>
  <c r="B142" i="4"/>
  <c r="A142" i="4"/>
  <c r="J141" i="4"/>
  <c r="I141" i="4"/>
  <c r="H141" i="4"/>
  <c r="G141" i="4"/>
  <c r="F141" i="4"/>
  <c r="E141" i="4"/>
  <c r="AF141" i="4" s="1"/>
  <c r="D141" i="4"/>
  <c r="C141" i="4"/>
  <c r="AI141" i="4" s="1"/>
  <c r="K140" i="4"/>
  <c r="J140" i="4"/>
  <c r="I140" i="4"/>
  <c r="H140" i="4"/>
  <c r="G140" i="4"/>
  <c r="F140" i="4"/>
  <c r="E140" i="4"/>
  <c r="AF140" i="4" s="1"/>
  <c r="D140" i="4"/>
  <c r="K139" i="4"/>
  <c r="J139" i="4"/>
  <c r="I139" i="4"/>
  <c r="H139" i="4"/>
  <c r="G139" i="4"/>
  <c r="F139" i="4"/>
  <c r="A139" i="4"/>
  <c r="K138" i="4"/>
  <c r="J138" i="4"/>
  <c r="I138" i="4"/>
  <c r="D138" i="4"/>
  <c r="C138" i="4"/>
  <c r="AI138" i="4" s="1"/>
  <c r="B138" i="4"/>
  <c r="A138" i="4"/>
  <c r="J137" i="4"/>
  <c r="F137" i="4"/>
  <c r="E137" i="4"/>
  <c r="AF137" i="4" s="1"/>
  <c r="D137" i="4"/>
  <c r="J136" i="4"/>
  <c r="I136" i="4"/>
  <c r="H136" i="4"/>
  <c r="G136" i="4"/>
  <c r="F136" i="4"/>
  <c r="E136" i="4"/>
  <c r="AF136" i="4" s="1"/>
  <c r="K135" i="4"/>
  <c r="I135" i="4"/>
  <c r="H135" i="4"/>
  <c r="G135" i="4"/>
  <c r="F135" i="4"/>
  <c r="E135" i="4"/>
  <c r="AF135" i="4" s="1"/>
  <c r="D135" i="4"/>
  <c r="K134" i="4"/>
  <c r="J134" i="4"/>
  <c r="I134" i="4"/>
  <c r="G134" i="4"/>
  <c r="F134" i="4"/>
  <c r="E134" i="4"/>
  <c r="AF134" i="4" s="1"/>
  <c r="B134" i="4"/>
  <c r="K133" i="4"/>
  <c r="J133" i="4"/>
  <c r="I133" i="4"/>
  <c r="H133" i="4"/>
  <c r="G133" i="4"/>
  <c r="F133" i="4"/>
  <c r="E133" i="4"/>
  <c r="AF133" i="4" s="1"/>
  <c r="D133" i="4"/>
  <c r="C133" i="4"/>
  <c r="AI133" i="4" s="1"/>
  <c r="B133" i="4"/>
  <c r="A132" i="4"/>
  <c r="N132" i="4" s="1"/>
  <c r="E128" i="4"/>
  <c r="AF128" i="4" s="1"/>
  <c r="D128" i="4"/>
  <c r="C128" i="4"/>
  <c r="AI128" i="4" s="1"/>
  <c r="B128" i="4"/>
  <c r="A128" i="4"/>
  <c r="K127" i="4"/>
  <c r="E127" i="4"/>
  <c r="AF127" i="4" s="1"/>
  <c r="D127" i="4"/>
  <c r="C127" i="4"/>
  <c r="AI127" i="4" s="1"/>
  <c r="H126" i="4"/>
  <c r="G126" i="4"/>
  <c r="F126" i="4"/>
  <c r="E126" i="4"/>
  <c r="AF126" i="4" s="1"/>
  <c r="C126" i="4"/>
  <c r="AI126" i="4" s="1"/>
  <c r="B126" i="4"/>
  <c r="A126" i="4"/>
  <c r="AJ126" i="4" s="1"/>
  <c r="K125" i="4"/>
  <c r="J125" i="4"/>
  <c r="F125" i="4"/>
  <c r="E125" i="4"/>
  <c r="AF125" i="4" s="1"/>
  <c r="C125" i="4"/>
  <c r="AI125" i="4" s="1"/>
  <c r="B125" i="4"/>
  <c r="A125" i="4"/>
  <c r="L125" i="4" s="1"/>
  <c r="H124" i="4"/>
  <c r="G124" i="4"/>
  <c r="F124" i="4"/>
  <c r="C123" i="4"/>
  <c r="AI123" i="4" s="1"/>
  <c r="A121" i="4"/>
  <c r="F119" i="4"/>
  <c r="E119" i="4"/>
  <c r="AF119" i="4" s="1"/>
  <c r="A118" i="4"/>
  <c r="K117" i="4"/>
  <c r="J117" i="4"/>
  <c r="I117" i="4"/>
  <c r="H117" i="4"/>
  <c r="G117" i="4"/>
  <c r="E117" i="4"/>
  <c r="AF117" i="4" s="1"/>
  <c r="C117" i="4"/>
  <c r="AI117" i="4" s="1"/>
  <c r="A117" i="4"/>
  <c r="L117" i="4" s="1"/>
  <c r="K116" i="4"/>
  <c r="J116" i="4"/>
  <c r="I116" i="4"/>
  <c r="H116" i="4"/>
  <c r="F116" i="4"/>
  <c r="E116" i="4"/>
  <c r="AF116" i="4" s="1"/>
  <c r="D116" i="4"/>
  <c r="A116" i="4"/>
  <c r="L116" i="4" s="1"/>
  <c r="K115" i="4"/>
  <c r="J115" i="4"/>
  <c r="I115" i="4"/>
  <c r="H115" i="4"/>
  <c r="F115" i="4"/>
  <c r="E115" i="4"/>
  <c r="AF115" i="4" s="1"/>
  <c r="C115" i="4"/>
  <c r="AI115" i="4" s="1"/>
  <c r="K114" i="4"/>
  <c r="J114" i="4"/>
  <c r="I114" i="4"/>
  <c r="G114" i="4"/>
  <c r="F114" i="4"/>
  <c r="E114" i="4"/>
  <c r="AF114" i="4" s="1"/>
  <c r="C114" i="4"/>
  <c r="AI114" i="4" s="1"/>
  <c r="B114" i="4"/>
  <c r="E113" i="4"/>
  <c r="AF113" i="4" s="1"/>
  <c r="D113" i="4"/>
  <c r="B113" i="4"/>
  <c r="A113" i="4"/>
  <c r="L113" i="4" s="1"/>
  <c r="K112" i="4"/>
  <c r="J112" i="4"/>
  <c r="J111" i="4"/>
  <c r="I111" i="4"/>
  <c r="H111" i="4"/>
  <c r="G111" i="4"/>
  <c r="F111" i="4"/>
  <c r="E111" i="4"/>
  <c r="AF111" i="4" s="1"/>
  <c r="D111" i="4"/>
  <c r="B111" i="4"/>
  <c r="A111" i="4"/>
  <c r="AC111" i="4" s="1"/>
  <c r="K110" i="4"/>
  <c r="I110" i="4"/>
  <c r="H110" i="4"/>
  <c r="G110" i="4"/>
  <c r="F110" i="4"/>
  <c r="E110" i="4"/>
  <c r="AF110" i="4" s="1"/>
  <c r="D110" i="4"/>
  <c r="B110" i="4"/>
  <c r="K109" i="4"/>
  <c r="I109" i="4"/>
  <c r="G109" i="4"/>
  <c r="C109" i="4"/>
  <c r="AI109" i="4" s="1"/>
  <c r="B109" i="4"/>
  <c r="A109" i="4"/>
  <c r="K108" i="4"/>
  <c r="J108" i="4"/>
  <c r="I108" i="4"/>
  <c r="G108" i="4"/>
  <c r="F108" i="4"/>
  <c r="E108" i="4"/>
  <c r="AF108" i="4" s="1"/>
  <c r="B108" i="4"/>
  <c r="A108" i="4"/>
  <c r="K107" i="4"/>
  <c r="J107" i="4"/>
  <c r="I107" i="4"/>
  <c r="H107" i="4"/>
  <c r="G107" i="4"/>
  <c r="F107" i="4"/>
  <c r="E107" i="4"/>
  <c r="AF107" i="4" s="1"/>
  <c r="D107" i="4"/>
  <c r="C107" i="4"/>
  <c r="AI107" i="4" s="1"/>
  <c r="B107" i="4"/>
  <c r="A107" i="4"/>
  <c r="K106" i="4"/>
  <c r="F106" i="4"/>
  <c r="E106" i="4"/>
  <c r="AF106" i="4" s="1"/>
  <c r="D106" i="4"/>
  <c r="B106" i="4"/>
  <c r="K105" i="4"/>
  <c r="J105" i="4"/>
  <c r="I105" i="4"/>
  <c r="G105" i="4"/>
  <c r="F105" i="4"/>
  <c r="E105" i="4"/>
  <c r="AF105" i="4" s="1"/>
  <c r="D105" i="4"/>
  <c r="C105" i="4"/>
  <c r="AI105" i="4" s="1"/>
  <c r="B105" i="4"/>
  <c r="A105" i="4"/>
  <c r="J104" i="4"/>
  <c r="H104" i="4"/>
  <c r="G104" i="4"/>
  <c r="F104" i="4"/>
  <c r="E104" i="4"/>
  <c r="AF104" i="4" s="1"/>
  <c r="D104" i="4"/>
  <c r="C104" i="4"/>
  <c r="AI104" i="4" s="1"/>
  <c r="A104" i="4"/>
  <c r="K102" i="4"/>
  <c r="G100" i="4"/>
  <c r="F100" i="4"/>
  <c r="J98" i="4"/>
  <c r="I98" i="4"/>
  <c r="F98" i="4"/>
  <c r="G97" i="4"/>
  <c r="F97" i="4"/>
  <c r="E97" i="4"/>
  <c r="AF97" i="4" s="1"/>
  <c r="D97" i="4"/>
  <c r="C97" i="4"/>
  <c r="AI97" i="4" s="1"/>
  <c r="B97" i="4"/>
  <c r="K96" i="4"/>
  <c r="J96" i="4"/>
  <c r="B96" i="4"/>
  <c r="K95" i="4"/>
  <c r="I95" i="4"/>
  <c r="H95" i="4"/>
  <c r="D95" i="4"/>
  <c r="C95" i="4"/>
  <c r="AI95" i="4" s="1"/>
  <c r="A95" i="4"/>
  <c r="AH95" i="4" s="1"/>
  <c r="H94" i="4"/>
  <c r="F94" i="4"/>
  <c r="E94" i="4"/>
  <c r="AF94" i="4" s="1"/>
  <c r="K93" i="4"/>
  <c r="I93" i="4"/>
  <c r="H93" i="4"/>
  <c r="G93" i="4"/>
  <c r="J92" i="4"/>
  <c r="I92" i="4"/>
  <c r="H92" i="4"/>
  <c r="G92" i="4"/>
  <c r="F92" i="4"/>
  <c r="E92" i="4"/>
  <c r="AF92" i="4" s="1"/>
  <c r="D92" i="4"/>
  <c r="B92" i="4"/>
  <c r="E91" i="4"/>
  <c r="AF91" i="4" s="1"/>
  <c r="D91" i="4"/>
  <c r="C91" i="4"/>
  <c r="AI91" i="4" s="1"/>
  <c r="A91" i="4"/>
  <c r="L91" i="4" s="1"/>
  <c r="K90" i="4"/>
  <c r="J90" i="4"/>
  <c r="E90" i="4"/>
  <c r="AF90" i="4" s="1"/>
  <c r="D90" i="4"/>
  <c r="C90" i="4"/>
  <c r="AI90" i="4" s="1"/>
  <c r="I89" i="4"/>
  <c r="D89" i="4"/>
  <c r="B89" i="4"/>
  <c r="J88" i="4"/>
  <c r="I88" i="4"/>
  <c r="G88" i="4"/>
  <c r="F88" i="4"/>
  <c r="E88" i="4"/>
  <c r="AF88" i="4" s="1"/>
  <c r="C88" i="4"/>
  <c r="AI88" i="4" s="1"/>
  <c r="H85" i="4"/>
  <c r="G85" i="4"/>
  <c r="F85" i="4"/>
  <c r="D85" i="4"/>
  <c r="C85" i="4"/>
  <c r="AI85" i="4" s="1"/>
  <c r="B85" i="4"/>
  <c r="C84" i="4"/>
  <c r="AI84" i="4" s="1"/>
  <c r="A84" i="4"/>
  <c r="AH84" i="4" s="1"/>
  <c r="F83" i="4"/>
  <c r="K82" i="4"/>
  <c r="K81" i="4"/>
  <c r="J81" i="4"/>
  <c r="I81" i="4"/>
  <c r="H81" i="4"/>
  <c r="G81" i="4"/>
  <c r="F81" i="4"/>
  <c r="E81" i="4"/>
  <c r="AF81" i="4" s="1"/>
  <c r="D81" i="4"/>
  <c r="C81" i="4"/>
  <c r="AI81" i="4" s="1"/>
  <c r="B81" i="4"/>
  <c r="A81" i="4"/>
  <c r="K80" i="4"/>
  <c r="J80" i="4"/>
  <c r="I80" i="4"/>
  <c r="H80" i="4"/>
  <c r="G80" i="4"/>
  <c r="F80" i="4"/>
  <c r="E80" i="4"/>
  <c r="AF80" i="4" s="1"/>
  <c r="D80" i="4"/>
  <c r="C80" i="4"/>
  <c r="AI80" i="4" s="1"/>
  <c r="B80" i="4"/>
  <c r="A80" i="4"/>
  <c r="H79" i="4"/>
  <c r="G79" i="4"/>
  <c r="F79" i="4"/>
  <c r="E79" i="4"/>
  <c r="AF79" i="4" s="1"/>
  <c r="A79" i="4"/>
  <c r="G78" i="4"/>
  <c r="F78" i="4"/>
  <c r="E78" i="4"/>
  <c r="AF78" i="4" s="1"/>
  <c r="D78" i="4"/>
  <c r="B78" i="4"/>
  <c r="A78" i="4"/>
  <c r="W78" i="4" s="1"/>
  <c r="D77" i="4"/>
  <c r="C77" i="4"/>
  <c r="AI77" i="4" s="1"/>
  <c r="A77" i="4"/>
  <c r="K76" i="4"/>
  <c r="J76" i="4"/>
  <c r="E76" i="4"/>
  <c r="AF76" i="4" s="1"/>
  <c r="K75" i="4"/>
  <c r="J75" i="4"/>
  <c r="I75" i="4"/>
  <c r="H75" i="4"/>
  <c r="G75" i="4"/>
  <c r="B75" i="4"/>
  <c r="K74" i="4"/>
  <c r="J74" i="4"/>
  <c r="F74" i="4"/>
  <c r="D74" i="4"/>
  <c r="G73" i="4"/>
  <c r="F73" i="4"/>
  <c r="E73" i="4"/>
  <c r="AF73" i="4" s="1"/>
  <c r="D73" i="4"/>
  <c r="C73" i="4"/>
  <c r="AI73" i="4" s="1"/>
  <c r="B73" i="4"/>
  <c r="D71" i="4"/>
  <c r="K69" i="4"/>
  <c r="J69" i="4"/>
  <c r="H69" i="4"/>
  <c r="G69" i="4"/>
  <c r="F69" i="4"/>
  <c r="E69" i="4"/>
  <c r="AF69" i="4" s="1"/>
  <c r="D69" i="4"/>
  <c r="C69" i="4"/>
  <c r="AI69" i="4" s="1"/>
  <c r="B69" i="4"/>
  <c r="K68" i="4"/>
  <c r="I68" i="4"/>
  <c r="H68" i="4"/>
  <c r="G68" i="4"/>
  <c r="F68" i="4"/>
  <c r="E68" i="4"/>
  <c r="AF68" i="4" s="1"/>
  <c r="D68" i="4"/>
  <c r="C68" i="4"/>
  <c r="AI68" i="4" s="1"/>
  <c r="A68" i="4"/>
  <c r="W68" i="4" s="1"/>
  <c r="J65" i="4"/>
  <c r="I65" i="4"/>
  <c r="H65" i="4"/>
  <c r="G65" i="4"/>
  <c r="F65" i="4"/>
  <c r="E65" i="4"/>
  <c r="AF65" i="4" s="1"/>
  <c r="D65" i="4"/>
  <c r="B65" i="4"/>
  <c r="A65" i="4"/>
  <c r="N65" i="4" s="1"/>
  <c r="K64" i="4"/>
  <c r="J64" i="4"/>
  <c r="I64" i="4"/>
  <c r="H64" i="4"/>
  <c r="F64" i="4"/>
  <c r="E64" i="4"/>
  <c r="AF64" i="4" s="1"/>
  <c r="D64" i="4"/>
  <c r="B64" i="4"/>
  <c r="A64" i="4"/>
  <c r="N64" i="4" s="1"/>
  <c r="K61" i="4"/>
  <c r="I61" i="4"/>
  <c r="H61" i="4"/>
  <c r="F61" i="4"/>
  <c r="E61" i="4"/>
  <c r="AF61" i="4" s="1"/>
  <c r="D61" i="4"/>
  <c r="K60" i="4"/>
  <c r="J60" i="4"/>
  <c r="H60" i="4"/>
  <c r="G60" i="4"/>
  <c r="F60" i="4"/>
  <c r="D60" i="4"/>
  <c r="C60" i="4"/>
  <c r="AI60" i="4" s="1"/>
  <c r="K59" i="4"/>
  <c r="J59" i="4"/>
  <c r="H59" i="4"/>
  <c r="G59" i="4"/>
  <c r="F59" i="4"/>
  <c r="D59" i="4"/>
  <c r="C59" i="4"/>
  <c r="AI59" i="4" s="1"/>
  <c r="B59" i="4"/>
  <c r="A59" i="4"/>
  <c r="N59" i="4" s="1"/>
  <c r="H58" i="4"/>
  <c r="F58" i="4"/>
  <c r="E58" i="4"/>
  <c r="AF58" i="4" s="1"/>
  <c r="D58" i="4"/>
  <c r="C58" i="4"/>
  <c r="AI58" i="4" s="1"/>
  <c r="B58" i="4"/>
  <c r="A58" i="4"/>
  <c r="K57" i="4"/>
  <c r="J57" i="4"/>
  <c r="E57" i="4"/>
  <c r="AF57" i="4" s="1"/>
  <c r="D57" i="4"/>
  <c r="K56" i="4"/>
  <c r="J56" i="4"/>
  <c r="H56" i="4"/>
  <c r="G56" i="4"/>
  <c r="F56" i="4"/>
  <c r="E56" i="4"/>
  <c r="AF56" i="4" s="1"/>
  <c r="D56" i="4"/>
  <c r="J55" i="4"/>
  <c r="F55" i="4"/>
  <c r="E55" i="4"/>
  <c r="AF55" i="4" s="1"/>
  <c r="A55" i="4"/>
  <c r="I54" i="4"/>
  <c r="G54" i="4"/>
  <c r="F54" i="4"/>
  <c r="B54" i="4"/>
  <c r="A54" i="4"/>
  <c r="N54" i="4" s="1"/>
  <c r="G53" i="4"/>
  <c r="B53" i="4"/>
  <c r="J52" i="4"/>
  <c r="I52" i="4"/>
  <c r="A52" i="4"/>
  <c r="N52" i="4" s="1"/>
  <c r="K51" i="4"/>
  <c r="J51" i="4"/>
  <c r="I51" i="4"/>
  <c r="H51" i="4"/>
  <c r="G51" i="4"/>
  <c r="F51" i="4"/>
  <c r="E51" i="4"/>
  <c r="AF51" i="4" s="1"/>
  <c r="D51" i="4"/>
  <c r="C51" i="4"/>
  <c r="AI51" i="4" s="1"/>
  <c r="B51" i="4"/>
  <c r="A51" i="4"/>
  <c r="AH51" i="4" s="1"/>
  <c r="K50" i="4"/>
  <c r="J50" i="4"/>
  <c r="I50" i="4"/>
  <c r="H50" i="4"/>
  <c r="G50" i="4"/>
  <c r="F50" i="4"/>
  <c r="E50" i="4"/>
  <c r="AF50" i="4" s="1"/>
  <c r="D50" i="4"/>
  <c r="C50" i="4"/>
  <c r="AI50" i="4" s="1"/>
  <c r="B50" i="4"/>
  <c r="A50" i="4"/>
  <c r="N50" i="4" s="1"/>
  <c r="K49" i="4"/>
  <c r="J49" i="4"/>
  <c r="I49" i="4"/>
  <c r="H49" i="4"/>
  <c r="G49" i="4"/>
  <c r="F49" i="4"/>
  <c r="E49" i="4"/>
  <c r="AF49" i="4" s="1"/>
  <c r="D49" i="4"/>
  <c r="C49" i="4"/>
  <c r="AI49" i="4" s="1"/>
  <c r="B49" i="4"/>
  <c r="A49" i="4"/>
  <c r="L49" i="4" s="1"/>
  <c r="K48" i="4"/>
  <c r="J48" i="4"/>
  <c r="I48" i="4"/>
  <c r="H48" i="4"/>
  <c r="G48" i="4"/>
  <c r="F48" i="4"/>
  <c r="E48" i="4"/>
  <c r="AF48" i="4" s="1"/>
  <c r="D48" i="4"/>
  <c r="C48" i="4"/>
  <c r="AI48" i="4" s="1"/>
  <c r="B48" i="4"/>
  <c r="A48" i="4"/>
  <c r="AH48" i="4" s="1"/>
  <c r="J47" i="4"/>
  <c r="I47" i="4"/>
  <c r="H47" i="4"/>
  <c r="G47" i="4"/>
  <c r="B46" i="4"/>
  <c r="A46" i="4"/>
  <c r="AH46" i="4" s="1"/>
  <c r="K45" i="4"/>
  <c r="J45" i="4"/>
  <c r="I45" i="4"/>
  <c r="H45" i="4"/>
  <c r="G45" i="4"/>
  <c r="F45" i="4"/>
  <c r="E45" i="4"/>
  <c r="AF45" i="4" s="1"/>
  <c r="D45" i="4"/>
  <c r="C45" i="4"/>
  <c r="AI45" i="4" s="1"/>
  <c r="B45" i="4"/>
  <c r="A45" i="4"/>
  <c r="K44" i="4"/>
  <c r="J44" i="4"/>
  <c r="H44" i="4"/>
  <c r="G44" i="4"/>
  <c r="F44" i="4"/>
  <c r="E44" i="4"/>
  <c r="AF44" i="4" s="1"/>
  <c r="D44" i="4"/>
  <c r="C44" i="4"/>
  <c r="AI44" i="4" s="1"/>
  <c r="B44" i="4"/>
  <c r="A44" i="4"/>
  <c r="G43" i="4"/>
  <c r="F43" i="4"/>
  <c r="I42" i="4"/>
  <c r="H42" i="4"/>
  <c r="J41" i="4"/>
  <c r="I41" i="4"/>
  <c r="H41" i="4"/>
  <c r="G41" i="4"/>
  <c r="F41" i="4"/>
  <c r="B41" i="4"/>
  <c r="E38" i="4"/>
  <c r="AF38" i="4" s="1"/>
  <c r="D38" i="4"/>
  <c r="I36" i="4"/>
  <c r="H36" i="4"/>
  <c r="E36" i="4"/>
  <c r="AF36" i="4" s="1"/>
  <c r="K34" i="4"/>
  <c r="J34" i="4"/>
  <c r="I34" i="4"/>
  <c r="B27" i="4"/>
  <c r="K22" i="4"/>
  <c r="C22" i="4"/>
  <c r="AI22" i="4" s="1"/>
  <c r="G21" i="4"/>
  <c r="F21" i="4"/>
  <c r="D21" i="4"/>
  <c r="H19" i="4"/>
  <c r="G19" i="4"/>
  <c r="K18" i="4"/>
  <c r="J18" i="4"/>
  <c r="I18" i="4"/>
  <c r="F17" i="4"/>
  <c r="B17" i="4"/>
  <c r="G16" i="4"/>
  <c r="B16" i="4"/>
  <c r="K14" i="4"/>
  <c r="F14" i="4"/>
  <c r="B14" i="4"/>
  <c r="I13" i="4"/>
  <c r="G13" i="4"/>
  <c r="B13" i="4"/>
  <c r="AA12" i="4"/>
  <c r="H10" i="4"/>
  <c r="G10" i="4"/>
  <c r="F10" i="4"/>
  <c r="D10" i="4"/>
  <c r="B10" i="4"/>
  <c r="J8" i="4"/>
  <c r="F8" i="4"/>
  <c r="E8" i="4"/>
  <c r="AF8" i="4" s="1"/>
  <c r="J7" i="4"/>
  <c r="I7" i="4"/>
  <c r="H7" i="4"/>
  <c r="AB6" i="4"/>
  <c r="J5" i="4"/>
  <c r="B5" i="4"/>
  <c r="AA4" i="4"/>
  <c r="AB4" i="4" s="1"/>
  <c r="AH198" i="4" l="1"/>
  <c r="N198" i="4"/>
  <c r="L143" i="4"/>
  <c r="AC143" i="4"/>
  <c r="AC139" i="4"/>
  <c r="L139" i="4"/>
  <c r="N138" i="4"/>
  <c r="AH138" i="4"/>
  <c r="AC138" i="4"/>
  <c r="W138" i="4"/>
  <c r="W81" i="4"/>
  <c r="L81" i="4"/>
  <c r="AH77" i="4"/>
  <c r="L77" i="4"/>
  <c r="K30" i="4"/>
  <c r="B30" i="4"/>
  <c r="C30" i="4"/>
  <c r="AI30" i="4" s="1"/>
  <c r="AJ138" i="4"/>
  <c r="E28" i="4"/>
  <c r="AF28" i="4" s="1"/>
  <c r="AH64" i="4"/>
  <c r="N190" i="4"/>
  <c r="AJ64" i="4"/>
  <c r="L51" i="4"/>
  <c r="AJ190" i="4"/>
  <c r="AJ52" i="4"/>
  <c r="N95" i="4"/>
  <c r="AC68" i="4"/>
  <c r="L64" i="4"/>
  <c r="AC64" i="4"/>
  <c r="L65" i="4"/>
  <c r="K25" i="4"/>
  <c r="B25" i="4"/>
  <c r="E25" i="4"/>
  <c r="AF25" i="4" s="1"/>
  <c r="G25" i="4"/>
  <c r="H25" i="4"/>
  <c r="I25" i="4"/>
  <c r="B10" i="7"/>
  <c r="C25" i="4"/>
  <c r="AI25" i="4" s="1"/>
  <c r="D25" i="4"/>
  <c r="F25" i="4"/>
  <c r="B24" i="4"/>
  <c r="C24" i="4"/>
  <c r="AI24" i="4" s="1"/>
  <c r="D24" i="4"/>
  <c r="E24" i="4"/>
  <c r="AF24" i="4" s="1"/>
  <c r="F24" i="4"/>
  <c r="G24" i="4"/>
  <c r="H24" i="4"/>
  <c r="I24" i="4"/>
  <c r="A24" i="4"/>
  <c r="L24" i="4" s="1"/>
  <c r="K24" i="4"/>
  <c r="K26" i="4"/>
  <c r="J26" i="4"/>
  <c r="I26" i="4"/>
  <c r="H26" i="4"/>
  <c r="H28" i="4"/>
  <c r="G28" i="4"/>
  <c r="F28" i="4"/>
  <c r="B98" i="4"/>
  <c r="E98" i="4"/>
  <c r="AF98" i="4" s="1"/>
  <c r="D98" i="4"/>
  <c r="A98" i="4"/>
  <c r="AH98" i="4" s="1"/>
  <c r="E99" i="4"/>
  <c r="AF99" i="4" s="1"/>
  <c r="T97" i="3"/>
  <c r="A99" i="4"/>
  <c r="L99" i="4" s="1"/>
  <c r="F99" i="4"/>
  <c r="D99" i="4"/>
  <c r="C99" i="4"/>
  <c r="AI99" i="4" s="1"/>
  <c r="S97" i="3"/>
  <c r="K99" i="4"/>
  <c r="Q97" i="3"/>
  <c r="I28" i="4"/>
  <c r="F36" i="4"/>
  <c r="G98" i="4"/>
  <c r="AJ104" i="4"/>
  <c r="AH104" i="4"/>
  <c r="AC104" i="4"/>
  <c r="AJ167" i="4"/>
  <c r="L167" i="4"/>
  <c r="F13" i="4"/>
  <c r="E13" i="4"/>
  <c r="AF13" i="4" s="1"/>
  <c r="C13" i="4"/>
  <c r="AI13" i="4" s="1"/>
  <c r="J13" i="4"/>
  <c r="I14" i="4"/>
  <c r="H14" i="4"/>
  <c r="G14" i="4"/>
  <c r="K15" i="4"/>
  <c r="J15" i="4"/>
  <c r="H15" i="4"/>
  <c r="G15" i="4"/>
  <c r="F15" i="4"/>
  <c r="K17" i="4"/>
  <c r="J17" i="4"/>
  <c r="I17" i="4"/>
  <c r="G17" i="4"/>
  <c r="C18" i="4"/>
  <c r="AI18" i="4" s="1"/>
  <c r="B18" i="4"/>
  <c r="R17" i="3"/>
  <c r="A19" i="4" s="1"/>
  <c r="L19" i="4" s="1"/>
  <c r="F19" i="4"/>
  <c r="C19" i="4"/>
  <c r="AI19" i="4" s="1"/>
  <c r="B19" i="4"/>
  <c r="K19" i="4"/>
  <c r="J19" i="4"/>
  <c r="I19" i="4"/>
  <c r="G20" i="4"/>
  <c r="K20" i="4"/>
  <c r="H20" i="4"/>
  <c r="R19" i="3"/>
  <c r="A21" i="4"/>
  <c r="L21" i="4" s="1"/>
  <c r="J21" i="4"/>
  <c r="H21" i="4"/>
  <c r="G22" i="4"/>
  <c r="F22" i="4"/>
  <c r="E22" i="4"/>
  <c r="AF22" i="4" s="1"/>
  <c r="B22" i="4"/>
  <c r="R28" i="3"/>
  <c r="A30" i="4" s="1"/>
  <c r="G30" i="4"/>
  <c r="F30" i="4"/>
  <c r="E30" i="4"/>
  <c r="AF30" i="4" s="1"/>
  <c r="I30" i="4"/>
  <c r="H30" i="4"/>
  <c r="D30" i="4"/>
  <c r="P25" i="3"/>
  <c r="Q25" i="3" s="1"/>
  <c r="H27" i="4"/>
  <c r="G27" i="4"/>
  <c r="F27" i="4"/>
  <c r="K27" i="4"/>
  <c r="P27" i="3"/>
  <c r="Q27" i="3" s="1"/>
  <c r="H29" i="4"/>
  <c r="G29" i="4"/>
  <c r="F29" i="4"/>
  <c r="D29" i="4"/>
  <c r="C29" i="4"/>
  <c r="AI29" i="4" s="1"/>
  <c r="B29" i="4"/>
  <c r="AH58" i="4"/>
  <c r="W58" i="4"/>
  <c r="H98" i="4"/>
  <c r="G4" i="4"/>
  <c r="E4" i="4"/>
  <c r="AF4" i="4" s="1"/>
  <c r="D4" i="4"/>
  <c r="B4" i="4"/>
  <c r="G5" i="4"/>
  <c r="E5" i="4"/>
  <c r="AF5" i="4" s="1"/>
  <c r="D5" i="4"/>
  <c r="I5" i="4"/>
  <c r="H5" i="4"/>
  <c r="C5" i="4"/>
  <c r="AI5" i="4" s="1"/>
  <c r="H6" i="4"/>
  <c r="G6" i="4"/>
  <c r="E6" i="4"/>
  <c r="AF6" i="4" s="1"/>
  <c r="R5" i="3"/>
  <c r="A7" i="4" s="1"/>
  <c r="F7" i="4"/>
  <c r="B7" i="4"/>
  <c r="D8" i="4"/>
  <c r="C8" i="4"/>
  <c r="AI8" i="4" s="1"/>
  <c r="B8" i="4"/>
  <c r="K8" i="4"/>
  <c r="I9" i="4"/>
  <c r="H9" i="4"/>
  <c r="F9" i="4"/>
  <c r="C9" i="4"/>
  <c r="AI9" i="4" s="1"/>
  <c r="B9" i="4"/>
  <c r="J10" i="4"/>
  <c r="I10" i="4"/>
  <c r="B12" i="4"/>
  <c r="D12" i="4"/>
  <c r="C12" i="4"/>
  <c r="AI12" i="4" s="1"/>
  <c r="Q32" i="3"/>
  <c r="C34" i="4"/>
  <c r="AI34" i="4" s="1"/>
  <c r="B34" i="4"/>
  <c r="A34" i="4"/>
  <c r="L34" i="4" s="1"/>
  <c r="H34" i="4"/>
  <c r="G34" i="4"/>
  <c r="F34" i="4"/>
  <c r="R32" i="3"/>
  <c r="F112" i="4"/>
  <c r="B112" i="4"/>
  <c r="I112" i="4"/>
  <c r="H112" i="4"/>
  <c r="G112" i="4"/>
  <c r="T33" i="3"/>
  <c r="N80" i="4"/>
  <c r="L80" i="4"/>
  <c r="S34" i="3"/>
  <c r="B36" i="4"/>
  <c r="A36" i="4"/>
  <c r="N36" i="4" s="1"/>
  <c r="K36" i="4"/>
  <c r="Q35" i="3"/>
  <c r="J36" i="4"/>
  <c r="C38" i="4"/>
  <c r="AI38" i="4" s="1"/>
  <c r="B38" i="4"/>
  <c r="A38" i="4"/>
  <c r="AH38" i="4" s="1"/>
  <c r="H38" i="4"/>
  <c r="G38" i="4"/>
  <c r="F38" i="4"/>
  <c r="D39" i="4"/>
  <c r="C39" i="4"/>
  <c r="AI39" i="4" s="1"/>
  <c r="B39" i="4"/>
  <c r="Q38" i="3"/>
  <c r="I40" i="4"/>
  <c r="H40" i="4"/>
  <c r="P39" i="3"/>
  <c r="E41" i="4"/>
  <c r="AF41" i="4" s="1"/>
  <c r="D41" i="4"/>
  <c r="C41" i="4"/>
  <c r="AI41" i="4" s="1"/>
  <c r="A41" i="4"/>
  <c r="N41" i="4" s="1"/>
  <c r="T39" i="3"/>
  <c r="H4" i="4"/>
  <c r="B6" i="4"/>
  <c r="G8" i="4"/>
  <c r="F12" i="4"/>
  <c r="B26" i="4"/>
  <c r="E27" i="4"/>
  <c r="AF27" i="4" s="1"/>
  <c r="E29" i="4"/>
  <c r="AF29" i="4" s="1"/>
  <c r="E35" i="4"/>
  <c r="AF35" i="4" s="1"/>
  <c r="F37" i="4"/>
  <c r="A39" i="4"/>
  <c r="W39" i="4" s="1"/>
  <c r="K41" i="4"/>
  <c r="G99" i="4"/>
  <c r="AC145" i="4"/>
  <c r="AJ145" i="4"/>
  <c r="W150" i="4"/>
  <c r="L150" i="4"/>
  <c r="E184" i="4"/>
  <c r="AF184" i="4" s="1"/>
  <c r="F52" i="4"/>
  <c r="E52" i="4"/>
  <c r="AF52" i="4" s="1"/>
  <c r="D52" i="4"/>
  <c r="H52" i="4"/>
  <c r="C52" i="4"/>
  <c r="AI52" i="4" s="1"/>
  <c r="G52" i="4"/>
  <c r="K53" i="4"/>
  <c r="J53" i="4"/>
  <c r="I53" i="4"/>
  <c r="K54" i="4"/>
  <c r="J54" i="4"/>
  <c r="E54" i="4"/>
  <c r="AF54" i="4" s="1"/>
  <c r="D54" i="4"/>
  <c r="C54" i="4"/>
  <c r="AI54" i="4" s="1"/>
  <c r="D55" i="4"/>
  <c r="K55" i="4"/>
  <c r="I55" i="4"/>
  <c r="H55" i="4"/>
  <c r="G55" i="4"/>
  <c r="T53" i="3"/>
  <c r="J152" i="4"/>
  <c r="F152" i="4"/>
  <c r="E152" i="4"/>
  <c r="AF152" i="4" s="1"/>
  <c r="A152" i="4"/>
  <c r="AJ152" i="4" s="1"/>
  <c r="E153" i="4"/>
  <c r="AF153" i="4" s="1"/>
  <c r="J153" i="4"/>
  <c r="I153" i="4"/>
  <c r="K154" i="4"/>
  <c r="J154" i="4"/>
  <c r="G154" i="4"/>
  <c r="I154" i="4"/>
  <c r="A155" i="4"/>
  <c r="AJ155" i="4" s="1"/>
  <c r="I155" i="4"/>
  <c r="J155" i="4"/>
  <c r="H155" i="4"/>
  <c r="G155" i="4"/>
  <c r="C155" i="4"/>
  <c r="AI155" i="4" s="1"/>
  <c r="B155" i="4"/>
  <c r="T153" i="3"/>
  <c r="I4" i="4"/>
  <c r="C6" i="4"/>
  <c r="AI6" i="4" s="1"/>
  <c r="H8" i="4"/>
  <c r="G12" i="4"/>
  <c r="J14" i="4"/>
  <c r="E17" i="4"/>
  <c r="AF17" i="4" s="1"/>
  <c r="C20" i="4"/>
  <c r="AI20" i="4" s="1"/>
  <c r="C26" i="4"/>
  <c r="AI26" i="4" s="1"/>
  <c r="I27" i="4"/>
  <c r="I29" i="4"/>
  <c r="F35" i="4"/>
  <c r="G39" i="4"/>
  <c r="B52" i="4"/>
  <c r="H54" i="4"/>
  <c r="H99" i="4"/>
  <c r="H154" i="4"/>
  <c r="B181" i="4"/>
  <c r="P35" i="3"/>
  <c r="T35" i="3"/>
  <c r="C37" i="4"/>
  <c r="AI37" i="4" s="1"/>
  <c r="B37" i="4"/>
  <c r="A37" i="4"/>
  <c r="E37" i="4"/>
  <c r="AF37" i="4" s="1"/>
  <c r="D37" i="4"/>
  <c r="D27" i="4"/>
  <c r="D35" i="4"/>
  <c r="AJ51" i="4"/>
  <c r="J27" i="4"/>
  <c r="G35" i="4"/>
  <c r="F72" i="4"/>
  <c r="E72" i="4"/>
  <c r="AF72" i="4" s="1"/>
  <c r="D72" i="4"/>
  <c r="C72" i="4"/>
  <c r="AI72" i="4" s="1"/>
  <c r="H72" i="4"/>
  <c r="G72" i="4"/>
  <c r="B72" i="4"/>
  <c r="K183" i="4"/>
  <c r="E183" i="4"/>
  <c r="AF183" i="4" s="1"/>
  <c r="B183" i="4"/>
  <c r="D183" i="4"/>
  <c r="C183" i="4"/>
  <c r="AI183" i="4" s="1"/>
  <c r="A183" i="4"/>
  <c r="AC183" i="4" s="1"/>
  <c r="P182" i="3"/>
  <c r="K184" i="4"/>
  <c r="J184" i="4"/>
  <c r="G184" i="4"/>
  <c r="S183" i="3"/>
  <c r="K185" i="4"/>
  <c r="H185" i="4"/>
  <c r="C185" i="4"/>
  <c r="AI185" i="4" s="1"/>
  <c r="B185" i="4"/>
  <c r="A185" i="4"/>
  <c r="W185" i="4" s="1"/>
  <c r="F185" i="4"/>
  <c r="E185" i="4"/>
  <c r="AF185" i="4" s="1"/>
  <c r="T183" i="3"/>
  <c r="D185" i="4"/>
  <c r="R183" i="3"/>
  <c r="D9" i="4"/>
  <c r="F20" i="4"/>
  <c r="AC55" i="4"/>
  <c r="N55" i="4"/>
  <c r="L55" i="4"/>
  <c r="AC149" i="4"/>
  <c r="AH149" i="4"/>
  <c r="N149" i="4"/>
  <c r="F82" i="4"/>
  <c r="I82" i="4"/>
  <c r="J84" i="4"/>
  <c r="F84" i="4"/>
  <c r="K84" i="4"/>
  <c r="I84" i="4"/>
  <c r="H84" i="4"/>
  <c r="G84" i="4"/>
  <c r="E84" i="4"/>
  <c r="AF84" i="4" s="1"/>
  <c r="D84" i="4"/>
  <c r="AJ48" i="4"/>
  <c r="D6" i="4"/>
  <c r="H37" i="4"/>
  <c r="J99" i="4"/>
  <c r="K180" i="4"/>
  <c r="A180" i="4"/>
  <c r="J180" i="4"/>
  <c r="I180" i="4"/>
  <c r="I6" i="4"/>
  <c r="I12" i="4"/>
  <c r="B15" i="4"/>
  <c r="F18" i="4"/>
  <c r="E26" i="4"/>
  <c r="AF26" i="4" s="1"/>
  <c r="K29" i="4"/>
  <c r="I37" i="4"/>
  <c r="AC78" i="4"/>
  <c r="L84" i="4"/>
  <c r="AC176" i="4"/>
  <c r="AJ176" i="4"/>
  <c r="AH176" i="4"/>
  <c r="L176" i="4"/>
  <c r="I184" i="4"/>
  <c r="K6" i="4"/>
  <c r="J12" i="4"/>
  <c r="C15" i="4"/>
  <c r="AI15" i="4" s="1"/>
  <c r="G18" i="4"/>
  <c r="B21" i="4"/>
  <c r="C28" i="4"/>
  <c r="AI28" i="4" s="1"/>
  <c r="D34" i="4"/>
  <c r="C36" i="4"/>
  <c r="AI36" i="4" s="1"/>
  <c r="F40" i="4"/>
  <c r="K52" i="4"/>
  <c r="I72" i="4"/>
  <c r="AJ78" i="4"/>
  <c r="D112" i="4"/>
  <c r="F155" i="4"/>
  <c r="G185" i="4"/>
  <c r="E86" i="4"/>
  <c r="AF86" i="4" s="1"/>
  <c r="D86" i="4"/>
  <c r="G86" i="4"/>
  <c r="F86" i="4"/>
  <c r="H88" i="4"/>
  <c r="D88" i="4"/>
  <c r="K88" i="4"/>
  <c r="B88" i="4"/>
  <c r="C89" i="4"/>
  <c r="AI89" i="4" s="1"/>
  <c r="G89" i="4"/>
  <c r="A89" i="4"/>
  <c r="AH89" i="4" s="1"/>
  <c r="K89" i="4"/>
  <c r="J89" i="4"/>
  <c r="A90" i="4"/>
  <c r="AH90" i="4" s="1"/>
  <c r="I90" i="4"/>
  <c r="H90" i="4"/>
  <c r="G90" i="4"/>
  <c r="F90" i="4"/>
  <c r="B90" i="4"/>
  <c r="P89" i="3"/>
  <c r="B91" i="4"/>
  <c r="J91" i="4"/>
  <c r="K91" i="4"/>
  <c r="I91" i="4"/>
  <c r="H91" i="4"/>
  <c r="G91" i="4"/>
  <c r="F91" i="4"/>
  <c r="T89" i="3"/>
  <c r="P33" i="3"/>
  <c r="B35" i="4"/>
  <c r="A35" i="4"/>
  <c r="L35" i="4" s="1"/>
  <c r="J35" i="4"/>
  <c r="H35" i="4"/>
  <c r="I35" i="4"/>
  <c r="C35" i="4"/>
  <c r="AI35" i="4" s="1"/>
  <c r="B99" i="4"/>
  <c r="J4" i="4"/>
  <c r="H12" i="4"/>
  <c r="D26" i="4"/>
  <c r="K39" i="4"/>
  <c r="N169" i="4"/>
  <c r="S179" i="3"/>
  <c r="G181" i="4"/>
  <c r="F181" i="4"/>
  <c r="C181" i="4"/>
  <c r="AI181" i="4" s="1"/>
  <c r="A181" i="4"/>
  <c r="L181" i="4" s="1"/>
  <c r="K181" i="4"/>
  <c r="K4" i="4"/>
  <c r="B28" i="4"/>
  <c r="D40" i="4"/>
  <c r="E71" i="4"/>
  <c r="AF71" i="4" s="1"/>
  <c r="C112" i="4"/>
  <c r="AI112" i="4" s="1"/>
  <c r="W169" i="4"/>
  <c r="E181" i="4"/>
  <c r="AF181" i="4" s="1"/>
  <c r="Q83" i="3"/>
  <c r="I85" i="4"/>
  <c r="E85" i="4"/>
  <c r="AF85" i="4" s="1"/>
  <c r="K85" i="4"/>
  <c r="J9" i="4"/>
  <c r="F26" i="4"/>
  <c r="J37" i="4"/>
  <c r="B55" i="4"/>
  <c r="E15" i="4"/>
  <c r="AF15" i="4" s="1"/>
  <c r="H18" i="4"/>
  <c r="C21" i="4"/>
  <c r="AI21" i="4" s="1"/>
  <c r="G26" i="4"/>
  <c r="D28" i="4"/>
  <c r="E34" i="4"/>
  <c r="AF34" i="4" s="1"/>
  <c r="D36" i="4"/>
  <c r="K37" i="4"/>
  <c r="G40" i="4"/>
  <c r="L52" i="4"/>
  <c r="C55" i="4"/>
  <c r="AI55" i="4" s="1"/>
  <c r="A85" i="4"/>
  <c r="E112" i="4"/>
  <c r="AF112" i="4" s="1"/>
  <c r="AJ143" i="4"/>
  <c r="H152" i="4"/>
  <c r="K155" i="4"/>
  <c r="W167" i="4"/>
  <c r="AH172" i="4"/>
  <c r="AC172" i="4"/>
  <c r="I181" i="4"/>
  <c r="I185" i="4"/>
  <c r="C92" i="4"/>
  <c r="AI92" i="4" s="1"/>
  <c r="K92" i="4"/>
  <c r="A92" i="4"/>
  <c r="AC92" i="4" s="1"/>
  <c r="B93" i="4"/>
  <c r="J93" i="4"/>
  <c r="C93" i="4"/>
  <c r="AI93" i="4" s="1"/>
  <c r="A93" i="4"/>
  <c r="AC93" i="4" s="1"/>
  <c r="A94" i="4"/>
  <c r="AH94" i="4" s="1"/>
  <c r="D94" i="4"/>
  <c r="C94" i="4"/>
  <c r="AI94" i="4" s="1"/>
  <c r="B94" i="4"/>
  <c r="P93" i="3"/>
  <c r="B95" i="4"/>
  <c r="J95" i="4"/>
  <c r="G95" i="4"/>
  <c r="F95" i="4"/>
  <c r="E95" i="4"/>
  <c r="AF95" i="4" s="1"/>
  <c r="A96" i="4"/>
  <c r="N96" i="4" s="1"/>
  <c r="I96" i="4"/>
  <c r="H96" i="4"/>
  <c r="G96" i="4"/>
  <c r="F96" i="4"/>
  <c r="R95" i="3"/>
  <c r="A97" i="4"/>
  <c r="L97" i="4" s="1"/>
  <c r="I97" i="4"/>
  <c r="K97" i="4"/>
  <c r="J97" i="4"/>
  <c r="H97" i="4"/>
  <c r="S95" i="3"/>
  <c r="P111" i="3"/>
  <c r="G113" i="4"/>
  <c r="C113" i="4"/>
  <c r="AI113" i="4" s="1"/>
  <c r="K113" i="4"/>
  <c r="J113" i="4"/>
  <c r="G57" i="4"/>
  <c r="I57" i="4"/>
  <c r="H57" i="4"/>
  <c r="F57" i="4"/>
  <c r="I58" i="4"/>
  <c r="K58" i="4"/>
  <c r="J58" i="4"/>
  <c r="P57" i="3"/>
  <c r="I59" i="4"/>
  <c r="E59" i="4"/>
  <c r="AF59" i="4" s="1"/>
  <c r="T57" i="3"/>
  <c r="H114" i="4"/>
  <c r="D114" i="4"/>
  <c r="A114" i="4"/>
  <c r="N114" i="4" s="1"/>
  <c r="D115" i="4"/>
  <c r="G115" i="4"/>
  <c r="B115" i="4"/>
  <c r="A115" i="4"/>
  <c r="AH115" i="4" s="1"/>
  <c r="Q113" i="3"/>
  <c r="I187" i="4"/>
  <c r="H187" i="4"/>
  <c r="P185" i="3"/>
  <c r="G74" i="4"/>
  <c r="AH79" i="4"/>
  <c r="L79" i="4"/>
  <c r="J94" i="4"/>
  <c r="C76" i="4"/>
  <c r="AI76" i="4" s="1"/>
  <c r="D96" i="4"/>
  <c r="F4" i="4"/>
  <c r="F5" i="4"/>
  <c r="F6" i="4"/>
  <c r="I60" i="4"/>
  <c r="E60" i="4"/>
  <c r="AF60" i="4" s="1"/>
  <c r="B60" i="4"/>
  <c r="A60" i="4"/>
  <c r="R59" i="3"/>
  <c r="G61" i="4"/>
  <c r="C61" i="4"/>
  <c r="AI61" i="4" s="1"/>
  <c r="B61" i="4"/>
  <c r="T59" i="3"/>
  <c r="A61" i="4"/>
  <c r="W61" i="4" s="1"/>
  <c r="S59" i="3"/>
  <c r="Q59" i="3"/>
  <c r="T113" i="3"/>
  <c r="T111" i="3"/>
  <c r="D93" i="4"/>
  <c r="C96" i="4"/>
  <c r="AI96" i="4" s="1"/>
  <c r="F113" i="4"/>
  <c r="H74" i="4"/>
  <c r="I77" i="4"/>
  <c r="C79" i="4"/>
  <c r="AI79" i="4" s="1"/>
  <c r="E93" i="4"/>
  <c r="AF93" i="4" s="1"/>
  <c r="H113" i="4"/>
  <c r="F93" i="4"/>
  <c r="E96" i="4"/>
  <c r="AF96" i="4" s="1"/>
  <c r="I113" i="4"/>
  <c r="C121" i="4"/>
  <c r="AI121" i="4" s="1"/>
  <c r="B121" i="4"/>
  <c r="H123" i="4"/>
  <c r="B123" i="4"/>
  <c r="A123" i="4"/>
  <c r="L123" i="4" s="1"/>
  <c r="P123" i="3"/>
  <c r="D125" i="4"/>
  <c r="I125" i="4"/>
  <c r="H125" i="4"/>
  <c r="G125" i="4"/>
  <c r="D126" i="4"/>
  <c r="I126" i="4"/>
  <c r="J127" i="4"/>
  <c r="B127" i="4"/>
  <c r="A127" i="4"/>
  <c r="AC127" i="4" s="1"/>
  <c r="K129" i="4"/>
  <c r="D129" i="4"/>
  <c r="E129" i="4"/>
  <c r="AF129" i="4" s="1"/>
  <c r="P128" i="3"/>
  <c r="E74" i="4"/>
  <c r="AF74" i="4" s="1"/>
  <c r="A74" i="4"/>
  <c r="N74" i="4" s="1"/>
  <c r="C74" i="4"/>
  <c r="AI74" i="4" s="1"/>
  <c r="B74" i="4"/>
  <c r="E75" i="4"/>
  <c r="AF75" i="4" s="1"/>
  <c r="A75" i="4"/>
  <c r="L75" i="4" s="1"/>
  <c r="F75" i="4"/>
  <c r="D75" i="4"/>
  <c r="C75" i="4"/>
  <c r="AI75" i="4" s="1"/>
  <c r="A76" i="4"/>
  <c r="F76" i="4"/>
  <c r="B76" i="4"/>
  <c r="I76" i="4"/>
  <c r="H76" i="4"/>
  <c r="G76" i="4"/>
  <c r="B77" i="4"/>
  <c r="K77" i="4"/>
  <c r="H77" i="4"/>
  <c r="G77" i="4"/>
  <c r="E77" i="4"/>
  <c r="AF77" i="4" s="1"/>
  <c r="C78" i="4"/>
  <c r="AI78" i="4" s="1"/>
  <c r="K78" i="4"/>
  <c r="J78" i="4"/>
  <c r="I78" i="4"/>
  <c r="H78" i="4"/>
  <c r="R77" i="3"/>
  <c r="B79" i="4"/>
  <c r="T77" i="3"/>
  <c r="S77" i="3"/>
  <c r="J79" i="4"/>
  <c r="K79" i="4"/>
  <c r="I79" i="4"/>
  <c r="Q77" i="3"/>
  <c r="C134" i="4"/>
  <c r="AI134" i="4" s="1"/>
  <c r="D134" i="4"/>
  <c r="A134" i="4"/>
  <c r="L134" i="4" s="1"/>
  <c r="S133" i="3"/>
  <c r="B135" i="4"/>
  <c r="R133" i="3"/>
  <c r="J135" i="4"/>
  <c r="C135" i="4"/>
  <c r="AI135" i="4" s="1"/>
  <c r="A135" i="4"/>
  <c r="L135" i="4" s="1"/>
  <c r="Q133" i="3"/>
  <c r="Q167" i="3"/>
  <c r="I169" i="4"/>
  <c r="H169" i="4"/>
  <c r="C169" i="4"/>
  <c r="AI169" i="4" s="1"/>
  <c r="T167" i="3"/>
  <c r="G116" i="4"/>
  <c r="C116" i="4"/>
  <c r="AI116" i="4" s="1"/>
  <c r="R115" i="3"/>
  <c r="F117" i="4"/>
  <c r="B117" i="4"/>
  <c r="Q115" i="3"/>
  <c r="B170" i="4"/>
  <c r="H170" i="4"/>
  <c r="G170" i="4"/>
  <c r="D170" i="4"/>
  <c r="I171" i="4"/>
  <c r="H171" i="4"/>
  <c r="E171" i="4"/>
  <c r="AF171" i="4" s="1"/>
  <c r="H174" i="4"/>
  <c r="G174" i="4"/>
  <c r="D174" i="4"/>
  <c r="P174" i="3"/>
  <c r="C176" i="4"/>
  <c r="AI176" i="4" s="1"/>
  <c r="B176" i="4"/>
  <c r="K176" i="4"/>
  <c r="A177" i="4"/>
  <c r="L177" i="4" s="1"/>
  <c r="I177" i="4"/>
  <c r="P176" i="3"/>
  <c r="K178" i="4"/>
  <c r="H178" i="4"/>
  <c r="J179" i="4"/>
  <c r="H179" i="4"/>
  <c r="R177" i="3"/>
  <c r="F144" i="4"/>
  <c r="E144" i="4"/>
  <c r="AF144" i="4" s="1"/>
  <c r="D144" i="4"/>
  <c r="A144" i="4"/>
  <c r="AH144" i="4" s="1"/>
  <c r="B145" i="4"/>
  <c r="E145" i="4"/>
  <c r="AF145" i="4" s="1"/>
  <c r="D145" i="4"/>
  <c r="D189" i="4"/>
  <c r="G189" i="4"/>
  <c r="F189" i="4"/>
  <c r="B189" i="4"/>
  <c r="T187" i="3"/>
  <c r="B116" i="4"/>
  <c r="D117" i="4"/>
  <c r="I144" i="4"/>
  <c r="K145" i="4"/>
  <c r="J169" i="4"/>
  <c r="F172" i="4"/>
  <c r="J174" i="4"/>
  <c r="G176" i="4"/>
  <c r="H177" i="4"/>
  <c r="A189" i="4"/>
  <c r="AJ189" i="4" s="1"/>
  <c r="E100" i="4"/>
  <c r="AF100" i="4" s="1"/>
  <c r="J100" i="4"/>
  <c r="I104" i="4"/>
  <c r="B104" i="4"/>
  <c r="K104" i="4"/>
  <c r="R103" i="3"/>
  <c r="T103" i="3"/>
  <c r="S103" i="3"/>
  <c r="H105" i="4"/>
  <c r="Q103" i="3"/>
  <c r="T143" i="3"/>
  <c r="J144" i="4"/>
  <c r="K169" i="4"/>
  <c r="C189" i="4"/>
  <c r="AI189" i="4" s="1"/>
  <c r="I8" i="4"/>
  <c r="K12" i="4"/>
  <c r="K13" i="4"/>
  <c r="K16" i="4"/>
  <c r="P15" i="3"/>
  <c r="Q15" i="3" s="1"/>
  <c r="K21" i="4"/>
  <c r="P144" i="3"/>
  <c r="G188" i="4"/>
  <c r="H188" i="4"/>
  <c r="F188" i="4"/>
  <c r="C188" i="4"/>
  <c r="AI188" i="4" s="1"/>
  <c r="K144" i="4"/>
  <c r="A188" i="4"/>
  <c r="E189" i="4"/>
  <c r="AF189" i="4" s="1"/>
  <c r="P6" i="3"/>
  <c r="Q6" i="3" s="1"/>
  <c r="K9" i="4"/>
  <c r="K10" i="4"/>
  <c r="G64" i="4"/>
  <c r="C64" i="4"/>
  <c r="AI64" i="4" s="1"/>
  <c r="C65" i="4"/>
  <c r="AI65" i="4" s="1"/>
  <c r="K65" i="4"/>
  <c r="B68" i="4"/>
  <c r="J68" i="4"/>
  <c r="R67" i="3"/>
  <c r="A69" i="4"/>
  <c r="AJ69" i="4" s="1"/>
  <c r="T67" i="3"/>
  <c r="I69" i="4"/>
  <c r="Q67" i="3"/>
  <c r="C108" i="4"/>
  <c r="AI108" i="4" s="1"/>
  <c r="H108" i="4"/>
  <c r="D108" i="4"/>
  <c r="D109" i="4"/>
  <c r="E109" i="4"/>
  <c r="AF109" i="4" s="1"/>
  <c r="C110" i="4"/>
  <c r="AI110" i="4" s="1"/>
  <c r="A110" i="4"/>
  <c r="J110" i="4"/>
  <c r="S109" i="3"/>
  <c r="S145" i="3"/>
  <c r="B147" i="4"/>
  <c r="A147" i="4"/>
  <c r="AC147" i="4" s="1"/>
  <c r="J147" i="4"/>
  <c r="K148" i="4"/>
  <c r="H148" i="4"/>
  <c r="K150" i="4"/>
  <c r="J150" i="4"/>
  <c r="G150" i="4"/>
  <c r="S149" i="3"/>
  <c r="J151" i="4"/>
  <c r="I151" i="4"/>
  <c r="T149" i="3"/>
  <c r="F151" i="4"/>
  <c r="Q149" i="3"/>
  <c r="E9" i="4"/>
  <c r="AF9" i="4" s="1"/>
  <c r="E10" i="4"/>
  <c r="AF10" i="4" s="1"/>
  <c r="E12" i="4"/>
  <c r="AF12" i="4" s="1"/>
  <c r="Q49" i="3"/>
  <c r="Q157" i="3"/>
  <c r="T191" i="3"/>
  <c r="H22" i="4"/>
  <c r="S49" i="3"/>
  <c r="R157" i="3"/>
  <c r="I21" i="4"/>
  <c r="I22" i="4"/>
  <c r="T49" i="3"/>
  <c r="S79" i="3"/>
  <c r="Q105" i="3"/>
  <c r="Q141" i="3"/>
  <c r="J32" i="4"/>
  <c r="I32" i="4"/>
  <c r="H32" i="4"/>
  <c r="F32" i="4"/>
  <c r="S30" i="3"/>
  <c r="G32" i="4"/>
  <c r="C32" i="4"/>
  <c r="AI32" i="4" s="1"/>
  <c r="B32" i="4"/>
  <c r="E32" i="4"/>
  <c r="AF32" i="4" s="1"/>
  <c r="D32" i="4"/>
  <c r="A32" i="4"/>
  <c r="AJ32" i="4" s="1"/>
  <c r="L164" i="4"/>
  <c r="AC164" i="4"/>
  <c r="H62" i="4"/>
  <c r="G62" i="4"/>
  <c r="F62" i="4"/>
  <c r="E62" i="4"/>
  <c r="AF62" i="4" s="1"/>
  <c r="A62" i="4"/>
  <c r="L62" i="4" s="1"/>
  <c r="I62" i="4"/>
  <c r="K62" i="4"/>
  <c r="J62" i="4"/>
  <c r="D62" i="4"/>
  <c r="B62" i="4"/>
  <c r="W102" i="4"/>
  <c r="AJ102" i="4"/>
  <c r="AH102" i="4"/>
  <c r="R61" i="3"/>
  <c r="E63" i="4"/>
  <c r="AF63" i="4" s="1"/>
  <c r="D63" i="4"/>
  <c r="T61" i="3"/>
  <c r="C63" i="4"/>
  <c r="AI63" i="4" s="1"/>
  <c r="S61" i="3"/>
  <c r="B63" i="4"/>
  <c r="Q61" i="3"/>
  <c r="I63" i="4"/>
  <c r="H63" i="4"/>
  <c r="F63" i="4"/>
  <c r="G63" i="4"/>
  <c r="K63" i="4"/>
  <c r="J63" i="4"/>
  <c r="R41" i="3"/>
  <c r="A43" i="4"/>
  <c r="N43" i="4" s="1"/>
  <c r="K43" i="4"/>
  <c r="J43" i="4"/>
  <c r="E43" i="4"/>
  <c r="AF43" i="4" s="1"/>
  <c r="D43" i="4"/>
  <c r="H43" i="4"/>
  <c r="C43" i="4"/>
  <c r="AI43" i="4" s="1"/>
  <c r="I43" i="4"/>
  <c r="T41" i="3"/>
  <c r="B43" i="4"/>
  <c r="C31" i="4"/>
  <c r="AI31" i="4" s="1"/>
  <c r="W98" i="4"/>
  <c r="N126" i="4"/>
  <c r="L126" i="4"/>
  <c r="W126" i="4"/>
  <c r="AH126" i="4"/>
  <c r="AC126" i="4"/>
  <c r="K31" i="4"/>
  <c r="I31" i="4"/>
  <c r="J31" i="4"/>
  <c r="Q30" i="3"/>
  <c r="W157" i="4"/>
  <c r="L157" i="4"/>
  <c r="P61" i="3"/>
  <c r="K32" i="4"/>
  <c r="Q4" i="3"/>
  <c r="AC161" i="4"/>
  <c r="AJ161" i="4"/>
  <c r="W161" i="4"/>
  <c r="AH161" i="4"/>
  <c r="L161" i="4"/>
  <c r="G42" i="4"/>
  <c r="F42" i="4"/>
  <c r="E42" i="4"/>
  <c r="AF42" i="4" s="1"/>
  <c r="D42" i="4"/>
  <c r="C42" i="4"/>
  <c r="AI42" i="4" s="1"/>
  <c r="B42" i="4"/>
  <c r="J42" i="4"/>
  <c r="A42" i="4"/>
  <c r="K42" i="4"/>
  <c r="P41" i="3"/>
  <c r="A63" i="4"/>
  <c r="AC63" i="4" s="1"/>
  <c r="AC146" i="4"/>
  <c r="AJ146" i="4"/>
  <c r="L146" i="4"/>
  <c r="W146" i="4"/>
  <c r="AH146" i="4"/>
  <c r="S159" i="3"/>
  <c r="E161" i="4"/>
  <c r="AF161" i="4" s="1"/>
  <c r="K161" i="4"/>
  <c r="J161" i="4"/>
  <c r="I161" i="4"/>
  <c r="G161" i="4"/>
  <c r="F161" i="4"/>
  <c r="D161" i="4"/>
  <c r="C161" i="4"/>
  <c r="AI161" i="4" s="1"/>
  <c r="B161" i="4"/>
  <c r="R159" i="3"/>
  <c r="T159" i="3"/>
  <c r="Q159" i="3"/>
  <c r="W45" i="4"/>
  <c r="L45" i="4"/>
  <c r="P101" i="3"/>
  <c r="H119" i="4"/>
  <c r="K119" i="4"/>
  <c r="J119" i="4"/>
  <c r="I119" i="4"/>
  <c r="Q119" i="3"/>
  <c r="AC80" i="4"/>
  <c r="A103" i="4"/>
  <c r="I33" i="4"/>
  <c r="G33" i="4"/>
  <c r="T31" i="3"/>
  <c r="Q45" i="3"/>
  <c r="P81" i="3"/>
  <c r="C122" i="4"/>
  <c r="AI122" i="4" s="1"/>
  <c r="F122" i="4"/>
  <c r="K122" i="4"/>
  <c r="J122" i="4"/>
  <c r="P160" i="3"/>
  <c r="B103" i="4"/>
  <c r="C118" i="4"/>
  <c r="AI118" i="4" s="1"/>
  <c r="N156" i="4"/>
  <c r="AJ156" i="4"/>
  <c r="AH156" i="4"/>
  <c r="AC156" i="4"/>
  <c r="W178" i="4"/>
  <c r="AJ178" i="4"/>
  <c r="B33" i="4"/>
  <c r="D46" i="4"/>
  <c r="AJ68" i="4"/>
  <c r="AH108" i="4"/>
  <c r="AJ108" i="4"/>
  <c r="AC108" i="4"/>
  <c r="G70" i="4"/>
  <c r="E70" i="4"/>
  <c r="AF70" i="4" s="1"/>
  <c r="D70" i="4"/>
  <c r="C70" i="4"/>
  <c r="AI70" i="4" s="1"/>
  <c r="B70" i="4"/>
  <c r="C86" i="4"/>
  <c r="AI86" i="4" s="1"/>
  <c r="K86" i="4"/>
  <c r="J86" i="4"/>
  <c r="I86" i="4"/>
  <c r="H86" i="4"/>
  <c r="A122" i="4"/>
  <c r="N122" i="4" s="1"/>
  <c r="D33" i="4"/>
  <c r="F46" i="4"/>
  <c r="AH50" i="4"/>
  <c r="A70" i="4"/>
  <c r="L70" i="4" s="1"/>
  <c r="G71" i="4"/>
  <c r="AJ80" i="4"/>
  <c r="A87" i="4"/>
  <c r="L87" i="4" s="1"/>
  <c r="J103" i="4"/>
  <c r="W113" i="4"/>
  <c r="F118" i="4"/>
  <c r="C120" i="4"/>
  <c r="AI120" i="4" s="1"/>
  <c r="B122" i="4"/>
  <c r="I123" i="4"/>
  <c r="A162" i="4"/>
  <c r="L162" i="4" s="1"/>
  <c r="F165" i="4"/>
  <c r="AH188" i="4"/>
  <c r="T69" i="3"/>
  <c r="S85" i="3"/>
  <c r="S173" i="3"/>
  <c r="F175" i="4"/>
  <c r="K175" i="4"/>
  <c r="B175" i="4"/>
  <c r="A175" i="4"/>
  <c r="P173" i="3"/>
  <c r="B118" i="4"/>
  <c r="I103" i="4"/>
  <c r="E33" i="4"/>
  <c r="AF33" i="4" s="1"/>
  <c r="H46" i="4"/>
  <c r="F70" i="4"/>
  <c r="H71" i="4"/>
  <c r="D82" i="4"/>
  <c r="W90" i="4"/>
  <c r="AC90" i="4"/>
  <c r="AJ90" i="4"/>
  <c r="K103" i="4"/>
  <c r="AC113" i="4"/>
  <c r="D120" i="4"/>
  <c r="D122" i="4"/>
  <c r="AJ197" i="4"/>
  <c r="W197" i="4"/>
  <c r="N197" i="4"/>
  <c r="L197" i="4"/>
  <c r="C56" i="4"/>
  <c r="AI56" i="4" s="1"/>
  <c r="B56" i="4"/>
  <c r="A56" i="4"/>
  <c r="R55" i="3"/>
  <c r="T55" i="3"/>
  <c r="S55" i="3"/>
  <c r="Q55" i="3"/>
  <c r="C57" i="4"/>
  <c r="AI57" i="4" s="1"/>
  <c r="B57" i="4"/>
  <c r="A57" i="4"/>
  <c r="AJ57" i="4" s="1"/>
  <c r="P55" i="3"/>
  <c r="A72" i="4"/>
  <c r="N72" i="4" s="1"/>
  <c r="K72" i="4"/>
  <c r="J72" i="4"/>
  <c r="R71" i="3"/>
  <c r="K73" i="4"/>
  <c r="J73" i="4"/>
  <c r="I73" i="4"/>
  <c r="H73" i="4"/>
  <c r="T71" i="3"/>
  <c r="P71" i="3"/>
  <c r="D136" i="4"/>
  <c r="K136" i="4"/>
  <c r="C136" i="4"/>
  <c r="AI136" i="4" s="1"/>
  <c r="B136" i="4"/>
  <c r="A136" i="4"/>
  <c r="P134" i="3"/>
  <c r="Q173" i="3"/>
  <c r="P180" i="3"/>
  <c r="B102" i="4"/>
  <c r="H102" i="4"/>
  <c r="G102" i="4"/>
  <c r="F102" i="4"/>
  <c r="E102" i="4"/>
  <c r="AF102" i="4" s="1"/>
  <c r="D102" i="4"/>
  <c r="I118" i="4"/>
  <c r="K118" i="4"/>
  <c r="J118" i="4"/>
  <c r="H118" i="4"/>
  <c r="AH68" i="4"/>
  <c r="T81" i="3"/>
  <c r="Q81" i="3"/>
  <c r="J83" i="4"/>
  <c r="E83" i="4"/>
  <c r="AF83" i="4" s="1"/>
  <c r="D83" i="4"/>
  <c r="C83" i="4"/>
  <c r="AI83" i="4" s="1"/>
  <c r="B83" i="4"/>
  <c r="A83" i="4"/>
  <c r="L83" i="4" s="1"/>
  <c r="P121" i="3"/>
  <c r="G162" i="4"/>
  <c r="F162" i="4"/>
  <c r="E162" i="4"/>
  <c r="AF162" i="4" s="1"/>
  <c r="I162" i="4"/>
  <c r="H162" i="4"/>
  <c r="D162" i="4"/>
  <c r="C162" i="4"/>
  <c r="AI162" i="4" s="1"/>
  <c r="B162" i="4"/>
  <c r="AJ44" i="4"/>
  <c r="W44" i="4"/>
  <c r="K47" i="4"/>
  <c r="G83" i="4"/>
  <c r="E123" i="4"/>
  <c r="AF123" i="4" s="1"/>
  <c r="F129" i="4"/>
  <c r="J129" i="4"/>
  <c r="I129" i="4"/>
  <c r="H129" i="4"/>
  <c r="C129" i="4"/>
  <c r="AI129" i="4" s="1"/>
  <c r="A129" i="4"/>
  <c r="W129" i="4" s="1"/>
  <c r="H165" i="4"/>
  <c r="E165" i="4"/>
  <c r="AF165" i="4" s="1"/>
  <c r="D165" i="4"/>
  <c r="C165" i="4"/>
  <c r="AI165" i="4" s="1"/>
  <c r="A120" i="4"/>
  <c r="G123" i="4"/>
  <c r="G129" i="4"/>
  <c r="AJ193" i="4"/>
  <c r="R85" i="3"/>
  <c r="K87" i="4"/>
  <c r="I87" i="4"/>
  <c r="H87" i="4"/>
  <c r="G87" i="4"/>
  <c r="F87" i="4"/>
  <c r="T85" i="3"/>
  <c r="E87" i="4"/>
  <c r="AF87" i="4" s="1"/>
  <c r="B187" i="4"/>
  <c r="G187" i="4"/>
  <c r="D187" i="4"/>
  <c r="C33" i="4"/>
  <c r="AI33" i="4" s="1"/>
  <c r="B120" i="4"/>
  <c r="F33" i="4"/>
  <c r="AJ38" i="4"/>
  <c r="AJ50" i="4"/>
  <c r="H70" i="4"/>
  <c r="I71" i="4"/>
  <c r="E82" i="4"/>
  <c r="AF82" i="4" s="1"/>
  <c r="C87" i="4"/>
  <c r="AI87" i="4" s="1"/>
  <c r="B100" i="4"/>
  <c r="C102" i="4"/>
  <c r="AI102" i="4" s="1"/>
  <c r="W111" i="4"/>
  <c r="L111" i="4"/>
  <c r="A119" i="4"/>
  <c r="W119" i="4" s="1"/>
  <c r="E120" i="4"/>
  <c r="AF120" i="4" s="1"/>
  <c r="E122" i="4"/>
  <c r="AF122" i="4" s="1"/>
  <c r="AJ128" i="4"/>
  <c r="AH128" i="4"/>
  <c r="L128" i="4"/>
  <c r="A130" i="4"/>
  <c r="N130" i="4" s="1"/>
  <c r="W145" i="4"/>
  <c r="N148" i="4"/>
  <c r="AC148" i="4"/>
  <c r="AJ148" i="4"/>
  <c r="AH148" i="4"/>
  <c r="W148" i="4"/>
  <c r="K162" i="4"/>
  <c r="K38" i="4"/>
  <c r="J38" i="4"/>
  <c r="I38" i="4"/>
  <c r="Q36" i="3"/>
  <c r="S71" i="3"/>
  <c r="S135" i="3"/>
  <c r="K137" i="4"/>
  <c r="I137" i="4"/>
  <c r="H137" i="4"/>
  <c r="G137" i="4"/>
  <c r="C137" i="4"/>
  <c r="AI137" i="4" s="1"/>
  <c r="B137" i="4"/>
  <c r="A137" i="4"/>
  <c r="N137" i="4" s="1"/>
  <c r="T135" i="3"/>
  <c r="Q135" i="3"/>
  <c r="R173" i="3"/>
  <c r="AJ118" i="4"/>
  <c r="AH118" i="4"/>
  <c r="AC167" i="4"/>
  <c r="A101" i="4"/>
  <c r="J101" i="4"/>
  <c r="I101" i="4"/>
  <c r="G101" i="4"/>
  <c r="D101" i="4"/>
  <c r="B101" i="4"/>
  <c r="J121" i="4"/>
  <c r="D121" i="4"/>
  <c r="K121" i="4"/>
  <c r="I121" i="4"/>
  <c r="H121" i="4"/>
  <c r="G121" i="4"/>
  <c r="P31" i="3"/>
  <c r="C47" i="4"/>
  <c r="AI47" i="4" s="1"/>
  <c r="B47" i="4"/>
  <c r="A47" i="4"/>
  <c r="L47" i="4" s="1"/>
  <c r="A33" i="4"/>
  <c r="AC33" i="4" s="1"/>
  <c r="C46" i="4"/>
  <c r="AI46" i="4" s="1"/>
  <c r="E121" i="4"/>
  <c r="AF121" i="4" s="1"/>
  <c r="AC178" i="4"/>
  <c r="AH193" i="4"/>
  <c r="J146" i="4"/>
  <c r="E146" i="4"/>
  <c r="AF146" i="4" s="1"/>
  <c r="D146" i="4"/>
  <c r="C146" i="4"/>
  <c r="AI146" i="4" s="1"/>
  <c r="K146" i="4"/>
  <c r="I146" i="4"/>
  <c r="H146" i="4"/>
  <c r="G146" i="4"/>
  <c r="I164" i="4"/>
  <c r="E164" i="4"/>
  <c r="AF164" i="4" s="1"/>
  <c r="D164" i="4"/>
  <c r="C164" i="4"/>
  <c r="AI164" i="4" s="1"/>
  <c r="K164" i="4"/>
  <c r="J164" i="4"/>
  <c r="H164" i="4"/>
  <c r="G164" i="4"/>
  <c r="F164" i="4"/>
  <c r="J166" i="4"/>
  <c r="H166" i="4"/>
  <c r="G166" i="4"/>
  <c r="F166" i="4"/>
  <c r="D166" i="4"/>
  <c r="C166" i="4"/>
  <c r="AI166" i="4" s="1"/>
  <c r="B166" i="4"/>
  <c r="A166" i="4"/>
  <c r="AC166" i="4" s="1"/>
  <c r="A186" i="4"/>
  <c r="B186" i="4"/>
  <c r="K186" i="4"/>
  <c r="I186" i="4"/>
  <c r="H186" i="4"/>
  <c r="G186" i="4"/>
  <c r="F186" i="4"/>
  <c r="E186" i="4"/>
  <c r="AF186" i="4" s="1"/>
  <c r="P184" i="3"/>
  <c r="AH80" i="4"/>
  <c r="AH55" i="4"/>
  <c r="AJ55" i="4"/>
  <c r="B165" i="4"/>
  <c r="J187" i="4"/>
  <c r="AJ194" i="4"/>
  <c r="AC194" i="4"/>
  <c r="AH194" i="4"/>
  <c r="W194" i="4"/>
  <c r="L194" i="4"/>
  <c r="Q69" i="3"/>
  <c r="Q85" i="3"/>
  <c r="H33" i="4"/>
  <c r="E47" i="4"/>
  <c r="AF47" i="4" s="1"/>
  <c r="AC51" i="4"/>
  <c r="I70" i="4"/>
  <c r="A86" i="4"/>
  <c r="N86" i="4" s="1"/>
  <c r="D87" i="4"/>
  <c r="D100" i="4"/>
  <c r="I102" i="4"/>
  <c r="W104" i="4"/>
  <c r="N104" i="4"/>
  <c r="B119" i="4"/>
  <c r="G122" i="4"/>
  <c r="W142" i="4"/>
  <c r="N142" i="4"/>
  <c r="E166" i="4"/>
  <c r="AF166" i="4" s="1"/>
  <c r="L184" i="4"/>
  <c r="S36" i="3"/>
  <c r="T173" i="3"/>
  <c r="B194" i="4"/>
  <c r="J194" i="4"/>
  <c r="I194" i="4"/>
  <c r="H194" i="4"/>
  <c r="G194" i="4"/>
  <c r="K194" i="4"/>
  <c r="F194" i="4"/>
  <c r="P192" i="3"/>
  <c r="K182" i="4"/>
  <c r="I182" i="4"/>
  <c r="H182" i="4"/>
  <c r="G182" i="4"/>
  <c r="F182" i="4"/>
  <c r="D182" i="4"/>
  <c r="C182" i="4"/>
  <c r="AI182" i="4" s="1"/>
  <c r="B182" i="4"/>
  <c r="A182" i="4"/>
  <c r="AC182" i="4" s="1"/>
  <c r="W80" i="4"/>
  <c r="R101" i="3"/>
  <c r="T101" i="3"/>
  <c r="S101" i="3"/>
  <c r="G103" i="4"/>
  <c r="F103" i="4"/>
  <c r="E103" i="4"/>
  <c r="AF103" i="4" s="1"/>
  <c r="D103" i="4"/>
  <c r="C103" i="4"/>
  <c r="AI103" i="4" s="1"/>
  <c r="F120" i="4"/>
  <c r="K120" i="4"/>
  <c r="J120" i="4"/>
  <c r="I120" i="4"/>
  <c r="H120" i="4"/>
  <c r="K101" i="4"/>
  <c r="G119" i="4"/>
  <c r="AH167" i="4"/>
  <c r="G82" i="4"/>
  <c r="J82" i="4"/>
  <c r="C82" i="4"/>
  <c r="AI82" i="4" s="1"/>
  <c r="B82" i="4"/>
  <c r="A82" i="4"/>
  <c r="W82" i="4" s="1"/>
  <c r="R121" i="3"/>
  <c r="T121" i="3"/>
  <c r="S121" i="3"/>
  <c r="Q121" i="3"/>
  <c r="F123" i="4"/>
  <c r="D123" i="4"/>
  <c r="K123" i="4"/>
  <c r="J123" i="4"/>
  <c r="AC109" i="4"/>
  <c r="W109" i="4"/>
  <c r="N109" i="4"/>
  <c r="L109" i="4"/>
  <c r="Q31" i="3"/>
  <c r="E130" i="4"/>
  <c r="AF130" i="4" s="1"/>
  <c r="J130" i="4"/>
  <c r="I130" i="4"/>
  <c r="H130" i="4"/>
  <c r="G130" i="4"/>
  <c r="F130" i="4"/>
  <c r="D130" i="4"/>
  <c r="C130" i="4"/>
  <c r="AI130" i="4" s="1"/>
  <c r="B130" i="4"/>
  <c r="H83" i="4"/>
  <c r="H103" i="4"/>
  <c r="D118" i="4"/>
  <c r="F121" i="4"/>
  <c r="A165" i="4"/>
  <c r="C71" i="4"/>
  <c r="AI71" i="4" s="1"/>
  <c r="B71" i="4"/>
  <c r="A71" i="4"/>
  <c r="L71" i="4" s="1"/>
  <c r="P69" i="3"/>
  <c r="P85" i="3"/>
  <c r="E46" i="4"/>
  <c r="AF46" i="4" s="1"/>
  <c r="F71" i="4"/>
  <c r="I83" i="4"/>
  <c r="E118" i="4"/>
  <c r="AF118" i="4" s="1"/>
  <c r="J33" i="4"/>
  <c r="F47" i="4"/>
  <c r="J70" i="4"/>
  <c r="K71" i="4"/>
  <c r="H82" i="4"/>
  <c r="B86" i="4"/>
  <c r="J87" i="4"/>
  <c r="J102" i="4"/>
  <c r="C119" i="4"/>
  <c r="AI119" i="4" s="1"/>
  <c r="H122" i="4"/>
  <c r="N145" i="4"/>
  <c r="AH145" i="4"/>
  <c r="I166" i="4"/>
  <c r="J182" i="4"/>
  <c r="L195" i="4"/>
  <c r="AJ195" i="4"/>
  <c r="AH195" i="4"/>
  <c r="AC195" i="4"/>
  <c r="N195" i="4"/>
  <c r="I160" i="4"/>
  <c r="A160" i="4"/>
  <c r="W160" i="4" s="1"/>
  <c r="F160" i="4"/>
  <c r="E160" i="4"/>
  <c r="AF160" i="4" s="1"/>
  <c r="D160" i="4"/>
  <c r="C160" i="4"/>
  <c r="AI160" i="4" s="1"/>
  <c r="B160" i="4"/>
  <c r="P158" i="3"/>
  <c r="W84" i="4"/>
  <c r="W96" i="4"/>
  <c r="N116" i="4"/>
  <c r="AH116" i="4"/>
  <c r="W116" i="4"/>
  <c r="N172" i="4"/>
  <c r="W172" i="4"/>
  <c r="L172" i="4"/>
  <c r="AJ172" i="4"/>
  <c r="L199" i="4"/>
  <c r="AH199" i="4"/>
  <c r="AC199" i="4"/>
  <c r="R18" i="3"/>
  <c r="A20" i="4" s="1"/>
  <c r="T47" i="3"/>
  <c r="Q47" i="3"/>
  <c r="P47" i="3"/>
  <c r="K126" i="4"/>
  <c r="J126" i="4"/>
  <c r="S125" i="3"/>
  <c r="G127" i="4"/>
  <c r="I127" i="4"/>
  <c r="H127" i="4"/>
  <c r="F127" i="4"/>
  <c r="P125" i="3"/>
  <c r="S181" i="3"/>
  <c r="J183" i="4"/>
  <c r="I183" i="4"/>
  <c r="H183" i="4"/>
  <c r="G183" i="4"/>
  <c r="F183" i="4"/>
  <c r="P181" i="3"/>
  <c r="S193" i="3"/>
  <c r="J195" i="4"/>
  <c r="G195" i="4"/>
  <c r="F195" i="4"/>
  <c r="E195" i="4"/>
  <c r="AF195" i="4" s="1"/>
  <c r="D195" i="4"/>
  <c r="P193" i="3"/>
  <c r="W52" i="4"/>
  <c r="AC84" i="4"/>
  <c r="AC96" i="4"/>
  <c r="AC116" i="4"/>
  <c r="W139" i="4"/>
  <c r="AJ139" i="4"/>
  <c r="P2" i="3"/>
  <c r="Q2" i="3" s="1"/>
  <c r="R4" i="3"/>
  <c r="A6" i="4" s="1"/>
  <c r="L6" i="4" s="1"/>
  <c r="P19" i="3"/>
  <c r="R73" i="3"/>
  <c r="T73" i="3"/>
  <c r="S73" i="3"/>
  <c r="Q73" i="3"/>
  <c r="P73" i="3"/>
  <c r="Q125" i="3"/>
  <c r="H138" i="4"/>
  <c r="G138" i="4"/>
  <c r="F138" i="4"/>
  <c r="E138" i="4"/>
  <c r="AF138" i="4" s="1"/>
  <c r="P136" i="3"/>
  <c r="G152" i="4"/>
  <c r="D152" i="4"/>
  <c r="C152" i="4"/>
  <c r="AI152" i="4" s="1"/>
  <c r="B152" i="4"/>
  <c r="P150" i="3"/>
  <c r="Q181" i="3"/>
  <c r="R193" i="3"/>
  <c r="L48" i="4"/>
  <c r="AC52" i="4"/>
  <c r="W64" i="4"/>
  <c r="N77" i="4"/>
  <c r="R16" i="3"/>
  <c r="A18" i="4" s="1"/>
  <c r="R125" i="3"/>
  <c r="D139" i="4"/>
  <c r="E139" i="4"/>
  <c r="AF139" i="4" s="1"/>
  <c r="C139" i="4"/>
  <c r="AI139" i="4" s="1"/>
  <c r="B139" i="4"/>
  <c r="P137" i="3"/>
  <c r="B153" i="4"/>
  <c r="F153" i="4"/>
  <c r="D153" i="4"/>
  <c r="C153" i="4"/>
  <c r="AI153" i="4" s="1"/>
  <c r="A153" i="4"/>
  <c r="N153" i="4" s="1"/>
  <c r="D154" i="4"/>
  <c r="C154" i="4"/>
  <c r="AI154" i="4" s="1"/>
  <c r="B154" i="4"/>
  <c r="A154" i="4"/>
  <c r="L154" i="4" s="1"/>
  <c r="P152" i="3"/>
  <c r="S169" i="3"/>
  <c r="K171" i="4"/>
  <c r="A171" i="4"/>
  <c r="L171" i="4" s="1"/>
  <c r="R169" i="3"/>
  <c r="R181" i="3"/>
  <c r="T193" i="3"/>
  <c r="W48" i="4"/>
  <c r="AJ96" i="4"/>
  <c r="AJ116" i="4"/>
  <c r="AJ151" i="4"/>
  <c r="R6" i="3"/>
  <c r="A8" i="4" s="1"/>
  <c r="L8" i="4" s="1"/>
  <c r="R8" i="3"/>
  <c r="A10" i="4" s="1"/>
  <c r="L10" i="4" s="1"/>
  <c r="R10" i="3"/>
  <c r="A12" i="4" s="1"/>
  <c r="D13" i="4"/>
  <c r="D15" i="4"/>
  <c r="D16" i="4"/>
  <c r="D18" i="4"/>
  <c r="D19" i="4"/>
  <c r="P23" i="3"/>
  <c r="Q23" i="3" s="1"/>
  <c r="T63" i="3"/>
  <c r="Q63" i="3"/>
  <c r="P63" i="3"/>
  <c r="R109" i="3"/>
  <c r="T109" i="3"/>
  <c r="K111" i="4"/>
  <c r="P109" i="3"/>
  <c r="T125" i="3"/>
  <c r="A140" i="4"/>
  <c r="N140" i="4" s="1"/>
  <c r="C140" i="4"/>
  <c r="AI140" i="4" s="1"/>
  <c r="B140" i="4"/>
  <c r="B141" i="4"/>
  <c r="T139" i="3"/>
  <c r="Q139" i="3"/>
  <c r="K141" i="4"/>
  <c r="A141" i="4"/>
  <c r="AJ141" i="4" s="1"/>
  <c r="P139" i="3"/>
  <c r="T169" i="3"/>
  <c r="J196" i="4"/>
  <c r="H196" i="4"/>
  <c r="F196" i="4"/>
  <c r="D196" i="4"/>
  <c r="C196" i="4"/>
  <c r="AI196" i="4" s="1"/>
  <c r="B196" i="4"/>
  <c r="I197" i="4"/>
  <c r="Q195" i="3"/>
  <c r="P195" i="3"/>
  <c r="AC48" i="4"/>
  <c r="AH52" i="4"/>
  <c r="AH78" i="4"/>
  <c r="AJ84" i="4"/>
  <c r="E14" i="4"/>
  <c r="AF14" i="4" s="1"/>
  <c r="E18" i="4"/>
  <c r="AF18" i="4" s="1"/>
  <c r="E19" i="4"/>
  <c r="AF19" i="4" s="1"/>
  <c r="R20" i="3"/>
  <c r="A22" i="4" s="1"/>
  <c r="L22" i="4" s="1"/>
  <c r="S53" i="3"/>
  <c r="C98" i="4"/>
  <c r="AI98" i="4" s="1"/>
  <c r="K98" i="4"/>
  <c r="R97" i="3"/>
  <c r="I99" i="4"/>
  <c r="P97" i="3"/>
  <c r="Q109" i="3"/>
  <c r="I128" i="4"/>
  <c r="F128" i="4"/>
  <c r="J128" i="4"/>
  <c r="H128" i="4"/>
  <c r="G128" i="4"/>
  <c r="P126" i="3"/>
  <c r="I172" i="4"/>
  <c r="K172" i="4"/>
  <c r="I174" i="4"/>
  <c r="B174" i="4"/>
  <c r="A174" i="4"/>
  <c r="P172" i="3"/>
  <c r="Q34" i="3"/>
  <c r="P43" i="3"/>
  <c r="P115" i="3"/>
  <c r="S131" i="3"/>
  <c r="T131" i="3"/>
  <c r="A133" i="4"/>
  <c r="N133" i="4" s="1"/>
  <c r="P131" i="3"/>
  <c r="P153" i="3"/>
  <c r="S165" i="3"/>
  <c r="T165" i="3"/>
  <c r="R165" i="3"/>
  <c r="J167" i="4"/>
  <c r="P165" i="3"/>
  <c r="P187" i="3"/>
  <c r="R34" i="3"/>
  <c r="Q43" i="3"/>
  <c r="P179" i="3"/>
  <c r="P196" i="3"/>
  <c r="L170" i="4"/>
  <c r="AH170" i="4"/>
  <c r="AJ170" i="4"/>
  <c r="S43" i="3"/>
  <c r="P79" i="3"/>
  <c r="R91" i="3"/>
  <c r="T91" i="3"/>
  <c r="S91" i="3"/>
  <c r="P91" i="3"/>
  <c r="S115" i="3"/>
  <c r="P142" i="3"/>
  <c r="S155" i="3"/>
  <c r="T155" i="3"/>
  <c r="I157" i="4"/>
  <c r="P155" i="3"/>
  <c r="Q179" i="3"/>
  <c r="P188" i="3"/>
  <c r="S197" i="3"/>
  <c r="R197" i="3"/>
  <c r="Q197" i="3"/>
  <c r="K199" i="4"/>
  <c r="P197" i="3"/>
  <c r="AH143" i="4"/>
  <c r="P4" i="3"/>
  <c r="T43" i="3"/>
  <c r="Q79" i="3"/>
  <c r="Q91" i="3"/>
  <c r="T115" i="3"/>
  <c r="Q143" i="3"/>
  <c r="Q155" i="3"/>
  <c r="P168" i="3"/>
  <c r="T179" i="3"/>
  <c r="S189" i="3"/>
  <c r="T189" i="3"/>
  <c r="B191" i="4"/>
  <c r="P189" i="3"/>
  <c r="W176" i="4"/>
  <c r="R145" i="3"/>
  <c r="G9" i="4"/>
  <c r="H13" i="4"/>
  <c r="H17" i="4"/>
  <c r="P67" i="3"/>
  <c r="P132" i="3"/>
  <c r="T145" i="3"/>
  <c r="P157" i="3"/>
  <c r="Q183" i="3"/>
  <c r="P49" i="3"/>
  <c r="P59" i="3"/>
  <c r="P103" i="3"/>
  <c r="P133" i="3"/>
  <c r="P149" i="3"/>
  <c r="P177" i="3"/>
  <c r="P77" i="3"/>
  <c r="P95" i="3"/>
  <c r="P113" i="3"/>
  <c r="P141" i="3"/>
  <c r="D23" i="4"/>
  <c r="E23" i="4"/>
  <c r="AF23" i="4" s="1"/>
  <c r="G23" i="4"/>
  <c r="H23" i="4"/>
  <c r="P21" i="3"/>
  <c r="Q21" i="3" s="1"/>
  <c r="K23" i="4"/>
  <c r="B23" i="4"/>
  <c r="C23" i="4"/>
  <c r="AI23" i="4" s="1"/>
  <c r="AJ67" i="4"/>
  <c r="AH67" i="4"/>
  <c r="AC67" i="4"/>
  <c r="W67" i="4"/>
  <c r="N67" i="4"/>
  <c r="L67" i="4"/>
  <c r="AJ36" i="4"/>
  <c r="AH36" i="4"/>
  <c r="AC36" i="4"/>
  <c r="W36" i="4"/>
  <c r="AC98" i="4"/>
  <c r="AC37" i="4"/>
  <c r="W77" i="4"/>
  <c r="W95" i="4"/>
  <c r="W117" i="4"/>
  <c r="AJ117" i="4"/>
  <c r="AH117" i="4"/>
  <c r="L132" i="4"/>
  <c r="W180" i="4"/>
  <c r="L180" i="4"/>
  <c r="AJ180" i="4"/>
  <c r="AC180" i="4"/>
  <c r="N180" i="4"/>
  <c r="R9" i="3"/>
  <c r="A11" i="4" s="1"/>
  <c r="W54" i="4"/>
  <c r="L54" i="4"/>
  <c r="AJ54" i="4"/>
  <c r="E67" i="4"/>
  <c r="AF67" i="4" s="1"/>
  <c r="AH69" i="4"/>
  <c r="AJ179" i="4"/>
  <c r="N179" i="4"/>
  <c r="L179" i="4"/>
  <c r="AC179" i="4"/>
  <c r="W179" i="4"/>
  <c r="O10" i="3"/>
  <c r="AJ24" i="4"/>
  <c r="L59" i="4"/>
  <c r="AJ59" i="4"/>
  <c r="AC59" i="4"/>
  <c r="W59" i="4"/>
  <c r="I67" i="4"/>
  <c r="W132" i="4"/>
  <c r="AJ191" i="4"/>
  <c r="AH191" i="4"/>
  <c r="AC191" i="4"/>
  <c r="W191" i="4"/>
  <c r="N191" i="4"/>
  <c r="P14" i="3"/>
  <c r="Q14" i="3" s="1"/>
  <c r="J16" i="4"/>
  <c r="I16" i="4"/>
  <c r="H16" i="4"/>
  <c r="F16" i="4"/>
  <c r="E16" i="4"/>
  <c r="AF16" i="4" s="1"/>
  <c r="O14" i="3"/>
  <c r="S14" i="3" s="1"/>
  <c r="S51" i="3"/>
  <c r="R51" i="3"/>
  <c r="T51" i="3"/>
  <c r="Q51" i="3"/>
  <c r="P51" i="3"/>
  <c r="F53" i="4"/>
  <c r="H53" i="4"/>
  <c r="E53" i="4"/>
  <c r="AF53" i="4" s="1"/>
  <c r="D53" i="4"/>
  <c r="C53" i="4"/>
  <c r="AI53" i="4" s="1"/>
  <c r="A53" i="4"/>
  <c r="O51" i="3"/>
  <c r="L39" i="4"/>
  <c r="AH39" i="4"/>
  <c r="W105" i="4"/>
  <c r="AJ105" i="4"/>
  <c r="AC105" i="4"/>
  <c r="N105" i="4"/>
  <c r="L107" i="4"/>
  <c r="AJ107" i="4"/>
  <c r="AH107" i="4"/>
  <c r="W107" i="4"/>
  <c r="AJ121" i="4"/>
  <c r="AH121" i="4"/>
  <c r="W121" i="4"/>
  <c r="AJ73" i="4"/>
  <c r="AC73" i="4"/>
  <c r="N73" i="4"/>
  <c r="AC107" i="4"/>
  <c r="AC121" i="4"/>
  <c r="AJ125" i="4"/>
  <c r="AH125" i="4"/>
  <c r="N125" i="4"/>
  <c r="G11" i="4"/>
  <c r="E11" i="4"/>
  <c r="AF11" i="4" s="1"/>
  <c r="D11" i="4"/>
  <c r="C11" i="4"/>
  <c r="AI11" i="4" s="1"/>
  <c r="O9" i="3"/>
  <c r="S9" i="3" s="1"/>
  <c r="T64" i="3"/>
  <c r="S64" i="3"/>
  <c r="R64" i="3"/>
  <c r="Q64" i="3"/>
  <c r="P64" i="3"/>
  <c r="K66" i="4"/>
  <c r="C66" i="4"/>
  <c r="AI66" i="4" s="1"/>
  <c r="A66" i="4"/>
  <c r="I66" i="4"/>
  <c r="H66" i="4"/>
  <c r="O64" i="3"/>
  <c r="S129" i="3"/>
  <c r="Q129" i="3"/>
  <c r="T129" i="3"/>
  <c r="R129" i="3"/>
  <c r="J131" i="4"/>
  <c r="B131" i="4"/>
  <c r="A131" i="4"/>
  <c r="K131" i="4"/>
  <c r="I131" i="4"/>
  <c r="H131" i="4"/>
  <c r="G131" i="4"/>
  <c r="O129" i="3"/>
  <c r="AH105" i="4"/>
  <c r="W125" i="4"/>
  <c r="O65" i="3"/>
  <c r="P129" i="3"/>
  <c r="AJ77" i="4"/>
  <c r="AC77" i="4"/>
  <c r="N117" i="4"/>
  <c r="AC125" i="4"/>
  <c r="W166" i="4"/>
  <c r="AJ166" i="4"/>
  <c r="N166" i="4"/>
  <c r="R29" i="3"/>
  <c r="A31" i="4" s="1"/>
  <c r="P29" i="3"/>
  <c r="Q29" i="3" s="1"/>
  <c r="H31" i="4"/>
  <c r="F31" i="4"/>
  <c r="D31" i="4"/>
  <c r="E31" i="4"/>
  <c r="AF31" i="4" s="1"/>
  <c r="B31" i="4"/>
  <c r="O29" i="3"/>
  <c r="T130" i="3"/>
  <c r="S130" i="3"/>
  <c r="R130" i="3"/>
  <c r="Q130" i="3"/>
  <c r="P130" i="3"/>
  <c r="E132" i="4"/>
  <c r="AF132" i="4" s="1"/>
  <c r="C132" i="4"/>
  <c r="AI132" i="4" s="1"/>
  <c r="K132" i="4"/>
  <c r="J132" i="4"/>
  <c r="I132" i="4"/>
  <c r="H132" i="4"/>
  <c r="G132" i="4"/>
  <c r="F132" i="4"/>
  <c r="D132" i="4"/>
  <c r="B132" i="4"/>
  <c r="O130" i="3"/>
  <c r="AJ85" i="4"/>
  <c r="AC117" i="4"/>
  <c r="AJ150" i="4"/>
  <c r="AH150" i="4"/>
  <c r="N150" i="4"/>
  <c r="H11" i="4"/>
  <c r="N39" i="4"/>
  <c r="AC44" i="4"/>
  <c r="N44" i="4"/>
  <c r="L44" i="4"/>
  <c r="AH44" i="4"/>
  <c r="W46" i="4"/>
  <c r="AJ49" i="4"/>
  <c r="AH49" i="4"/>
  <c r="AC49" i="4"/>
  <c r="W49" i="4"/>
  <c r="N49" i="4"/>
  <c r="AH54" i="4"/>
  <c r="D66" i="4"/>
  <c r="K67" i="4"/>
  <c r="AJ91" i="4"/>
  <c r="AC91" i="4"/>
  <c r="W91" i="4"/>
  <c r="N91" i="4"/>
  <c r="AJ109" i="4"/>
  <c r="AH109" i="4"/>
  <c r="AC150" i="4"/>
  <c r="I11" i="4"/>
  <c r="AA11" i="4" s="1"/>
  <c r="AH59" i="4"/>
  <c r="AJ63" i="4"/>
  <c r="E66" i="4"/>
  <c r="AF66" i="4" s="1"/>
  <c r="AH71" i="4"/>
  <c r="AH91" i="4"/>
  <c r="AJ111" i="4"/>
  <c r="AH111" i="4"/>
  <c r="N111" i="4"/>
  <c r="C131" i="4"/>
  <c r="AI131" i="4" s="1"/>
  <c r="AJ184" i="4"/>
  <c r="AH184" i="4"/>
  <c r="AC184" i="4"/>
  <c r="N184" i="4"/>
  <c r="AH201" i="4"/>
  <c r="R14" i="3"/>
  <c r="A16" i="4" s="1"/>
  <c r="AH132" i="4"/>
  <c r="AC132" i="4"/>
  <c r="AJ132" i="4"/>
  <c r="W37" i="4"/>
  <c r="L37" i="4"/>
  <c r="AJ37" i="4"/>
  <c r="AJ65" i="4"/>
  <c r="AH65" i="4"/>
  <c r="AC65" i="4"/>
  <c r="W65" i="4"/>
  <c r="L95" i="4"/>
  <c r="AJ95" i="4"/>
  <c r="AC95" i="4"/>
  <c r="AC54" i="4"/>
  <c r="J11" i="4"/>
  <c r="AJ41" i="4"/>
  <c r="AC41" i="4"/>
  <c r="F66" i="4"/>
  <c r="AJ75" i="4"/>
  <c r="AJ83" i="4"/>
  <c r="AC83" i="4"/>
  <c r="W115" i="4"/>
  <c r="D131" i="4"/>
  <c r="AH158" i="4"/>
  <c r="T104" i="3"/>
  <c r="S104" i="3"/>
  <c r="R104" i="3"/>
  <c r="Q104" i="3"/>
  <c r="P104" i="3"/>
  <c r="G106" i="4"/>
  <c r="C106" i="4"/>
  <c r="AI106" i="4" s="1"/>
  <c r="A106" i="4"/>
  <c r="J106" i="4"/>
  <c r="I106" i="4"/>
  <c r="O104" i="3"/>
  <c r="T166" i="3"/>
  <c r="S166" i="3"/>
  <c r="R166" i="3"/>
  <c r="Q166" i="3"/>
  <c r="B168" i="4"/>
  <c r="I168" i="4"/>
  <c r="H168" i="4"/>
  <c r="F168" i="4"/>
  <c r="C168" i="4"/>
  <c r="AI168" i="4" s="1"/>
  <c r="A168" i="4"/>
  <c r="K168" i="4"/>
  <c r="O166" i="3"/>
  <c r="AC61" i="4"/>
  <c r="W69" i="4"/>
  <c r="B11" i="4"/>
  <c r="K11" i="4"/>
  <c r="W41" i="4"/>
  <c r="AC50" i="4"/>
  <c r="W50" i="4"/>
  <c r="L50" i="4"/>
  <c r="G66" i="4"/>
  <c r="AJ79" i="4"/>
  <c r="AC79" i="4"/>
  <c r="W79" i="4"/>
  <c r="N79" i="4"/>
  <c r="E131" i="4"/>
  <c r="AF131" i="4" s="1"/>
  <c r="W201" i="4"/>
  <c r="L201" i="4"/>
  <c r="AC201" i="4"/>
  <c r="N201" i="4"/>
  <c r="AC202" i="4"/>
  <c r="AJ202" i="4"/>
  <c r="AH202" i="4"/>
  <c r="W202" i="4"/>
  <c r="N202" i="4"/>
  <c r="G7" i="4"/>
  <c r="E7" i="4"/>
  <c r="AF7" i="4" s="1"/>
  <c r="C7" i="4"/>
  <c r="AI7" i="4" s="1"/>
  <c r="D7" i="4"/>
  <c r="O5" i="3"/>
  <c r="S5" i="3" s="1"/>
  <c r="S37" i="3"/>
  <c r="R37" i="3"/>
  <c r="T37" i="3"/>
  <c r="Q37" i="3"/>
  <c r="P37" i="3"/>
  <c r="J39" i="4"/>
  <c r="I39" i="4"/>
  <c r="H39" i="4"/>
  <c r="F39" i="4"/>
  <c r="E39" i="4"/>
  <c r="AF39" i="4" s="1"/>
  <c r="O37" i="3"/>
  <c r="P166" i="3"/>
  <c r="AJ58" i="4"/>
  <c r="AC58" i="4"/>
  <c r="N58" i="4"/>
  <c r="L58" i="4"/>
  <c r="AJ46" i="4"/>
  <c r="AC46" i="4"/>
  <c r="N46" i="4"/>
  <c r="L46" i="4"/>
  <c r="J66" i="4"/>
  <c r="L121" i="4"/>
  <c r="F131" i="4"/>
  <c r="AH177" i="4"/>
  <c r="AC177" i="4"/>
  <c r="AH180" i="4"/>
  <c r="P5" i="3"/>
  <c r="Q5" i="3" s="1"/>
  <c r="P18" i="3"/>
  <c r="Q18" i="3" s="1"/>
  <c r="D20" i="4"/>
  <c r="B20" i="4"/>
  <c r="J20" i="4"/>
  <c r="I20" i="4"/>
  <c r="O18" i="3"/>
  <c r="T18" i="3" s="1"/>
  <c r="P38" i="3"/>
  <c r="T38" i="3"/>
  <c r="E40" i="4"/>
  <c r="AF40" i="4" s="1"/>
  <c r="C40" i="4"/>
  <c r="AI40" i="4" s="1"/>
  <c r="B40" i="4"/>
  <c r="A40" i="4"/>
  <c r="S38" i="3"/>
  <c r="K40" i="4"/>
  <c r="R38" i="3"/>
  <c r="J40" i="4"/>
  <c r="O38" i="3"/>
  <c r="W73" i="4"/>
  <c r="P9" i="3"/>
  <c r="Q9" i="3" s="1"/>
  <c r="R65" i="3"/>
  <c r="S65" i="3"/>
  <c r="D67" i="4"/>
  <c r="J67" i="4"/>
  <c r="H67" i="4"/>
  <c r="G67" i="4"/>
  <c r="F67" i="4"/>
  <c r="T65" i="3"/>
  <c r="C67" i="4"/>
  <c r="AI67" i="4" s="1"/>
  <c r="Q65" i="3"/>
  <c r="B67" i="4"/>
  <c r="P65" i="3"/>
  <c r="AH73" i="4"/>
  <c r="L56" i="4"/>
  <c r="AH56" i="4"/>
  <c r="AC97" i="4"/>
  <c r="W97" i="4"/>
  <c r="L105" i="4"/>
  <c r="N107" i="4"/>
  <c r="AJ113" i="4"/>
  <c r="AH113" i="4"/>
  <c r="N113" i="4"/>
  <c r="N121" i="4"/>
  <c r="L158" i="4"/>
  <c r="W158" i="4"/>
  <c r="AC158" i="4"/>
  <c r="N158" i="4"/>
  <c r="AH159" i="4"/>
  <c r="AC159" i="4"/>
  <c r="AJ159" i="4"/>
  <c r="W159" i="4"/>
  <c r="N159" i="4"/>
  <c r="T98" i="3"/>
  <c r="S98" i="3"/>
  <c r="R98" i="3"/>
  <c r="Q98" i="3"/>
  <c r="P98" i="3"/>
  <c r="A100" i="4"/>
  <c r="O98" i="3"/>
  <c r="T122" i="3"/>
  <c r="S122" i="3"/>
  <c r="R122" i="3"/>
  <c r="Q122" i="3"/>
  <c r="P122" i="3"/>
  <c r="A124" i="4"/>
  <c r="O122" i="3"/>
  <c r="N45" i="4"/>
  <c r="N51" i="4"/>
  <c r="N81" i="4"/>
  <c r="H100" i="4"/>
  <c r="J124" i="4"/>
  <c r="O6" i="3"/>
  <c r="R11" i="3"/>
  <c r="A13" i="4" s="1"/>
  <c r="P11" i="3"/>
  <c r="Q11" i="3" s="1"/>
  <c r="O11" i="3"/>
  <c r="S11" i="3" s="1"/>
  <c r="P20" i="3"/>
  <c r="Q20" i="3" s="1"/>
  <c r="O20" i="3"/>
  <c r="T20" i="3" s="1"/>
  <c r="T44" i="3"/>
  <c r="S44" i="3"/>
  <c r="R44" i="3"/>
  <c r="Q44" i="3"/>
  <c r="P44" i="3"/>
  <c r="G46" i="4"/>
  <c r="O44" i="3"/>
  <c r="T92" i="3"/>
  <c r="S92" i="3"/>
  <c r="R92" i="3"/>
  <c r="Q92" i="3"/>
  <c r="P92" i="3"/>
  <c r="G94" i="4"/>
  <c r="O92" i="3"/>
  <c r="S99" i="3"/>
  <c r="R99" i="3"/>
  <c r="T99" i="3"/>
  <c r="P99" i="3"/>
  <c r="F101" i="4"/>
  <c r="O99" i="3"/>
  <c r="N38" i="4"/>
  <c r="AC45" i="4"/>
  <c r="I46" i="4"/>
  <c r="W51" i="4"/>
  <c r="W55" i="4"/>
  <c r="AC57" i="4"/>
  <c r="AC81" i="4"/>
  <c r="I94" i="4"/>
  <c r="I100" i="4"/>
  <c r="C101" i="4"/>
  <c r="AI101" i="4" s="1"/>
  <c r="K124" i="4"/>
  <c r="AJ130" i="4"/>
  <c r="N135" i="4"/>
  <c r="N139" i="4"/>
  <c r="AH141" i="4"/>
  <c r="L142" i="4"/>
  <c r="AC197" i="4"/>
  <c r="R2" i="3"/>
  <c r="A4" i="4" s="1"/>
  <c r="R15" i="3"/>
  <c r="A17" i="4" s="1"/>
  <c r="O15" i="3"/>
  <c r="T15" i="3" s="1"/>
  <c r="R25" i="3"/>
  <c r="A27" i="4" s="1"/>
  <c r="O25" i="3"/>
  <c r="S25" i="3" s="1"/>
  <c r="S45" i="3"/>
  <c r="R45" i="3"/>
  <c r="T45" i="3"/>
  <c r="P45" i="3"/>
  <c r="O45" i="3"/>
  <c r="T54" i="3"/>
  <c r="S54" i="3"/>
  <c r="R54" i="3"/>
  <c r="Q54" i="3"/>
  <c r="P54" i="3"/>
  <c r="I56" i="4"/>
  <c r="O54" i="3"/>
  <c r="T60" i="3"/>
  <c r="S60" i="3"/>
  <c r="R60" i="3"/>
  <c r="Q60" i="3"/>
  <c r="P60" i="3"/>
  <c r="C62" i="4"/>
  <c r="AI62" i="4" s="1"/>
  <c r="O60" i="3"/>
  <c r="T86" i="3"/>
  <c r="S86" i="3"/>
  <c r="R86" i="3"/>
  <c r="Q86" i="3"/>
  <c r="P86" i="3"/>
  <c r="A88" i="4"/>
  <c r="O86" i="3"/>
  <c r="S93" i="3"/>
  <c r="R93" i="3"/>
  <c r="T93" i="3"/>
  <c r="O93" i="3"/>
  <c r="Q99" i="3"/>
  <c r="T154" i="3"/>
  <c r="S154" i="3"/>
  <c r="R154" i="3"/>
  <c r="Q154" i="3"/>
  <c r="P154" i="3"/>
  <c r="B156" i="4"/>
  <c r="J156" i="4"/>
  <c r="H156" i="4"/>
  <c r="O154" i="3"/>
  <c r="S87" i="3"/>
  <c r="R87" i="3"/>
  <c r="F89" i="4"/>
  <c r="O87" i="3"/>
  <c r="R107" i="3"/>
  <c r="T107" i="3"/>
  <c r="S107" i="3"/>
  <c r="Q107" i="3"/>
  <c r="P107" i="3"/>
  <c r="J109" i="4"/>
  <c r="O107" i="3"/>
  <c r="S161" i="3"/>
  <c r="T161" i="3"/>
  <c r="R161" i="3"/>
  <c r="Q161" i="3"/>
  <c r="A163" i="4"/>
  <c r="K163" i="4"/>
  <c r="J163" i="4"/>
  <c r="I163" i="4"/>
  <c r="P161" i="3"/>
  <c r="G163" i="4"/>
  <c r="O161" i="3"/>
  <c r="AH45" i="4"/>
  <c r="K46" i="4"/>
  <c r="L68" i="4"/>
  <c r="L72" i="4"/>
  <c r="L78" i="4"/>
  <c r="AH81" i="4"/>
  <c r="E89" i="4"/>
  <c r="AF89" i="4" s="1"/>
  <c r="L90" i="4"/>
  <c r="K94" i="4"/>
  <c r="K100" i="4"/>
  <c r="E101" i="4"/>
  <c r="AF101" i="4" s="1"/>
  <c r="L102" i="4"/>
  <c r="L104" i="4"/>
  <c r="L108" i="4"/>
  <c r="F109" i="4"/>
  <c r="L118" i="4"/>
  <c r="N128" i="4"/>
  <c r="AC130" i="4"/>
  <c r="W133" i="4"/>
  <c r="AH139" i="4"/>
  <c r="L149" i="4"/>
  <c r="L151" i="4"/>
  <c r="AC153" i="4"/>
  <c r="W156" i="4"/>
  <c r="L156" i="4"/>
  <c r="L165" i="4"/>
  <c r="W193" i="4"/>
  <c r="L193" i="4"/>
  <c r="AC193" i="4"/>
  <c r="AH197" i="4"/>
  <c r="R7" i="3"/>
  <c r="A9" i="4" s="1"/>
  <c r="P7" i="3"/>
  <c r="Q7" i="3" s="1"/>
  <c r="O7" i="3"/>
  <c r="T7" i="3" s="1"/>
  <c r="S31" i="3"/>
  <c r="R31" i="3"/>
  <c r="O31" i="3"/>
  <c r="S35" i="3"/>
  <c r="R35" i="3"/>
  <c r="O35" i="3"/>
  <c r="P87" i="3"/>
  <c r="Q93" i="3"/>
  <c r="T140" i="3"/>
  <c r="S140" i="3"/>
  <c r="R140" i="3"/>
  <c r="Q140" i="3"/>
  <c r="G142" i="4"/>
  <c r="E142" i="4"/>
  <c r="AF142" i="4" s="1"/>
  <c r="O140" i="3"/>
  <c r="S163" i="3"/>
  <c r="R163" i="3"/>
  <c r="K165" i="4"/>
  <c r="I165" i="4"/>
  <c r="T163" i="3"/>
  <c r="Q163" i="3"/>
  <c r="P163" i="3"/>
  <c r="J165" i="4"/>
  <c r="O163" i="3"/>
  <c r="T190" i="3"/>
  <c r="S190" i="3"/>
  <c r="R190" i="3"/>
  <c r="Q190" i="3"/>
  <c r="B192" i="4"/>
  <c r="E192" i="4"/>
  <c r="AF192" i="4" s="1"/>
  <c r="D192" i="4"/>
  <c r="A192" i="4"/>
  <c r="O190" i="3"/>
  <c r="N68" i="4"/>
  <c r="N78" i="4"/>
  <c r="N90" i="4"/>
  <c r="N102" i="4"/>
  <c r="N108" i="4"/>
  <c r="N118" i="4"/>
  <c r="B124" i="4"/>
  <c r="W128" i="4"/>
  <c r="AJ142" i="4"/>
  <c r="AH142" i="4"/>
  <c r="AC142" i="4"/>
  <c r="N151" i="4"/>
  <c r="B163" i="4"/>
  <c r="R3" i="3"/>
  <c r="A5" i="4" s="1"/>
  <c r="O3" i="3"/>
  <c r="T3" i="3" s="1"/>
  <c r="P12" i="3"/>
  <c r="Q12" i="3" s="1"/>
  <c r="O12" i="3"/>
  <c r="T12" i="3" s="1"/>
  <c r="O17" i="3"/>
  <c r="P26" i="3"/>
  <c r="Q26" i="3" s="1"/>
  <c r="R26" i="3"/>
  <c r="A28" i="4" s="1"/>
  <c r="O26" i="3"/>
  <c r="T26" i="3" s="1"/>
  <c r="T40" i="3"/>
  <c r="S40" i="3"/>
  <c r="R40" i="3"/>
  <c r="Q40" i="3"/>
  <c r="P40" i="3"/>
  <c r="O40" i="3"/>
  <c r="S75" i="3"/>
  <c r="R75" i="3"/>
  <c r="T75" i="3"/>
  <c r="P75" i="3"/>
  <c r="F77" i="4"/>
  <c r="O75" i="3"/>
  <c r="Q87" i="3"/>
  <c r="S147" i="3"/>
  <c r="T147" i="3"/>
  <c r="R147" i="3"/>
  <c r="Q147" i="3"/>
  <c r="P147" i="3"/>
  <c r="F149" i="4"/>
  <c r="D149" i="4"/>
  <c r="O147" i="3"/>
  <c r="S171" i="3"/>
  <c r="T171" i="3"/>
  <c r="R171" i="3"/>
  <c r="C173" i="4"/>
  <c r="AI173" i="4" s="1"/>
  <c r="A173" i="4"/>
  <c r="I173" i="4"/>
  <c r="H173" i="4"/>
  <c r="F173" i="4"/>
  <c r="O171" i="3"/>
  <c r="AJ45" i="4"/>
  <c r="N48" i="4"/>
  <c r="AJ81" i="4"/>
  <c r="N84" i="4"/>
  <c r="H89" i="4"/>
  <c r="AJ93" i="4"/>
  <c r="H101" i="4"/>
  <c r="W108" i="4"/>
  <c r="H109" i="4"/>
  <c r="W118" i="4"/>
  <c r="C124" i="4"/>
  <c r="AI124" i="4" s="1"/>
  <c r="AC128" i="4"/>
  <c r="L138" i="4"/>
  <c r="L145" i="4"/>
  <c r="W149" i="4"/>
  <c r="AC151" i="4"/>
  <c r="AJ157" i="4"/>
  <c r="AH157" i="4"/>
  <c r="AC157" i="4"/>
  <c r="N157" i="4"/>
  <c r="C163" i="4"/>
  <c r="AI163" i="4" s="1"/>
  <c r="AJ164" i="4"/>
  <c r="AH164" i="4"/>
  <c r="W164" i="4"/>
  <c r="N164" i="4"/>
  <c r="P3" i="3"/>
  <c r="Q3" i="3" s="1"/>
  <c r="O8" i="3"/>
  <c r="P8" i="3"/>
  <c r="Q8" i="3" s="1"/>
  <c r="P17" i="3"/>
  <c r="Q17" i="3" s="1"/>
  <c r="Q75" i="3"/>
  <c r="R83" i="3"/>
  <c r="J85" i="4"/>
  <c r="S83" i="3"/>
  <c r="O83" i="3"/>
  <c r="T87" i="3"/>
  <c r="T117" i="3"/>
  <c r="S117" i="3"/>
  <c r="R117" i="3"/>
  <c r="Q117" i="3"/>
  <c r="P117" i="3"/>
  <c r="O117" i="3"/>
  <c r="T156" i="3"/>
  <c r="S156" i="3"/>
  <c r="R156" i="3"/>
  <c r="Q156" i="3"/>
  <c r="J158" i="4"/>
  <c r="P156" i="3"/>
  <c r="K158" i="4"/>
  <c r="O156" i="3"/>
  <c r="P171" i="3"/>
  <c r="T178" i="3"/>
  <c r="S178" i="3"/>
  <c r="R178" i="3"/>
  <c r="Q178" i="3"/>
  <c r="P178" i="3"/>
  <c r="B180" i="4"/>
  <c r="H180" i="4"/>
  <c r="G180" i="4"/>
  <c r="E180" i="4"/>
  <c r="AF180" i="4" s="1"/>
  <c r="O178" i="3"/>
  <c r="AC118" i="4"/>
  <c r="D124" i="4"/>
  <c r="N143" i="4"/>
  <c r="AH151" i="4"/>
  <c r="N154" i="4"/>
  <c r="D163" i="4"/>
  <c r="R12" i="3"/>
  <c r="A14" i="4" s="1"/>
  <c r="P22" i="3"/>
  <c r="Q22" i="3" s="1"/>
  <c r="O22" i="3"/>
  <c r="T22" i="3" s="1"/>
  <c r="T56" i="3"/>
  <c r="S56" i="3"/>
  <c r="R56" i="3"/>
  <c r="Q56" i="3"/>
  <c r="P56" i="3"/>
  <c r="G58" i="4"/>
  <c r="O56" i="3"/>
  <c r="P83" i="3"/>
  <c r="S127" i="3"/>
  <c r="T127" i="3"/>
  <c r="R127" i="3"/>
  <c r="Q127" i="3"/>
  <c r="P127" i="3"/>
  <c r="B129" i="4"/>
  <c r="O127" i="3"/>
  <c r="Q171" i="3"/>
  <c r="S185" i="3"/>
  <c r="T185" i="3"/>
  <c r="R185" i="3"/>
  <c r="Q185" i="3"/>
  <c r="A187" i="4"/>
  <c r="K187" i="4"/>
  <c r="F187" i="4"/>
  <c r="E187" i="4"/>
  <c r="AF187" i="4" s="1"/>
  <c r="C187" i="4"/>
  <c r="AI187" i="4" s="1"/>
  <c r="O185" i="3"/>
  <c r="S201" i="3"/>
  <c r="H203" i="4"/>
  <c r="D203" i="4"/>
  <c r="Q201" i="3"/>
  <c r="B203" i="4"/>
  <c r="T201" i="3"/>
  <c r="C203" i="4"/>
  <c r="AI203" i="4" s="1"/>
  <c r="R201" i="3"/>
  <c r="A203" i="4"/>
  <c r="P201" i="3"/>
  <c r="O201" i="3"/>
  <c r="C100" i="4"/>
  <c r="AI100" i="4" s="1"/>
  <c r="E124" i="4"/>
  <c r="AF124" i="4" s="1"/>
  <c r="W143" i="4"/>
  <c r="E163" i="4"/>
  <c r="AF163" i="4" s="1"/>
  <c r="W165" i="4"/>
  <c r="N165" i="4"/>
  <c r="P28" i="3"/>
  <c r="Q28" i="3" s="1"/>
  <c r="O28" i="3"/>
  <c r="T28" i="3" s="1"/>
  <c r="P32" i="3"/>
  <c r="T32" i="3"/>
  <c r="S32" i="3"/>
  <c r="O32" i="3"/>
  <c r="T110" i="3"/>
  <c r="S110" i="3"/>
  <c r="R110" i="3"/>
  <c r="Q110" i="3"/>
  <c r="P110" i="3"/>
  <c r="A112" i="4"/>
  <c r="O110" i="3"/>
  <c r="N146" i="4"/>
  <c r="AJ169" i="4"/>
  <c r="AH169" i="4"/>
  <c r="AC169" i="4"/>
  <c r="N174" i="4"/>
  <c r="N176" i="4"/>
  <c r="N178" i="4"/>
  <c r="AH183" i="4"/>
  <c r="L190" i="4"/>
  <c r="D197" i="4"/>
  <c r="AJ198" i="4"/>
  <c r="AC198" i="4"/>
  <c r="W198" i="4"/>
  <c r="L198" i="4"/>
  <c r="O4" i="3"/>
  <c r="O19" i="3"/>
  <c r="O41" i="3"/>
  <c r="T50" i="3"/>
  <c r="S50" i="3"/>
  <c r="R50" i="3"/>
  <c r="Q50" i="3"/>
  <c r="P50" i="3"/>
  <c r="O50" i="3"/>
  <c r="T72" i="3"/>
  <c r="S72" i="3"/>
  <c r="R72" i="3"/>
  <c r="Q72" i="3"/>
  <c r="P72" i="3"/>
  <c r="O72" i="3"/>
  <c r="T78" i="3"/>
  <c r="S78" i="3"/>
  <c r="R78" i="3"/>
  <c r="Q78" i="3"/>
  <c r="P78" i="3"/>
  <c r="O78" i="3"/>
  <c r="R89" i="3"/>
  <c r="S89" i="3"/>
  <c r="O89" i="3"/>
  <c r="S111" i="3"/>
  <c r="R111" i="3"/>
  <c r="O111" i="3"/>
  <c r="T116" i="3"/>
  <c r="S116" i="3"/>
  <c r="R116" i="3"/>
  <c r="Q116" i="3"/>
  <c r="P116" i="3"/>
  <c r="O116" i="3"/>
  <c r="S123" i="3"/>
  <c r="T123" i="3"/>
  <c r="R123" i="3"/>
  <c r="Q123" i="3"/>
  <c r="O123" i="3"/>
  <c r="S167" i="3"/>
  <c r="P167" i="3"/>
  <c r="G169" i="4"/>
  <c r="E169" i="4"/>
  <c r="AF169" i="4" s="1"/>
  <c r="O167" i="3"/>
  <c r="S199" i="3"/>
  <c r="J201" i="4"/>
  <c r="T199" i="3"/>
  <c r="R199" i="3"/>
  <c r="Q199" i="3"/>
  <c r="P199" i="3"/>
  <c r="F201" i="4"/>
  <c r="O199" i="3"/>
  <c r="J61" i="4"/>
  <c r="N167" i="4"/>
  <c r="N170" i="4"/>
  <c r="AH178" i="4"/>
  <c r="L188" i="4"/>
  <c r="AC190" i="4"/>
  <c r="W195" i="4"/>
  <c r="G197" i="4"/>
  <c r="N199" i="4"/>
  <c r="P10" i="3"/>
  <c r="Q10" i="3" s="1"/>
  <c r="R13" i="3"/>
  <c r="A15" i="4" s="1"/>
  <c r="P13" i="3"/>
  <c r="Q13" i="3" s="1"/>
  <c r="O13" i="3"/>
  <c r="T13" i="3" s="1"/>
  <c r="Q19" i="3"/>
  <c r="Q41" i="3"/>
  <c r="T84" i="3"/>
  <c r="S84" i="3"/>
  <c r="R84" i="3"/>
  <c r="Q84" i="3"/>
  <c r="P84" i="3"/>
  <c r="O84" i="3"/>
  <c r="Q89" i="3"/>
  <c r="Q111" i="3"/>
  <c r="R167" i="3"/>
  <c r="T188" i="3"/>
  <c r="S188" i="3"/>
  <c r="R188" i="3"/>
  <c r="Q188" i="3"/>
  <c r="D190" i="4"/>
  <c r="B190" i="4"/>
  <c r="O188" i="3"/>
  <c r="W170" i="4"/>
  <c r="AH190" i="4"/>
  <c r="W199" i="4"/>
  <c r="R23" i="3"/>
  <c r="A25" i="4" s="1"/>
  <c r="O23" i="3"/>
  <c r="T23" i="3" s="1"/>
  <c r="P34" i="3"/>
  <c r="T34" i="3"/>
  <c r="O34" i="3"/>
  <c r="T46" i="3"/>
  <c r="S46" i="3"/>
  <c r="R46" i="3"/>
  <c r="Q46" i="3"/>
  <c r="P46" i="3"/>
  <c r="O46" i="3"/>
  <c r="S63" i="3"/>
  <c r="R63" i="3"/>
  <c r="O63" i="3"/>
  <c r="S143" i="3"/>
  <c r="P143" i="3"/>
  <c r="O143" i="3"/>
  <c r="T150" i="3"/>
  <c r="S150" i="3"/>
  <c r="R150" i="3"/>
  <c r="Q150" i="3"/>
  <c r="O150" i="3"/>
  <c r="R47" i="3"/>
  <c r="S47" i="3"/>
  <c r="O47" i="3"/>
  <c r="T58" i="3"/>
  <c r="S58" i="3"/>
  <c r="R58" i="3"/>
  <c r="Q58" i="3"/>
  <c r="P58" i="3"/>
  <c r="O58" i="3"/>
  <c r="T68" i="3"/>
  <c r="S68" i="3"/>
  <c r="R68" i="3"/>
  <c r="Q68" i="3"/>
  <c r="P68" i="3"/>
  <c r="O68" i="3"/>
  <c r="T96" i="3"/>
  <c r="S96" i="3"/>
  <c r="R96" i="3"/>
  <c r="Q96" i="3"/>
  <c r="P96" i="3"/>
  <c r="O96" i="3"/>
  <c r="T102" i="3"/>
  <c r="S102" i="3"/>
  <c r="R102" i="3"/>
  <c r="Q102" i="3"/>
  <c r="P102" i="3"/>
  <c r="O102" i="3"/>
  <c r="R113" i="3"/>
  <c r="S113" i="3"/>
  <c r="O113" i="3"/>
  <c r="R119" i="3"/>
  <c r="T119" i="3"/>
  <c r="S119" i="3"/>
  <c r="P119" i="3"/>
  <c r="O119" i="3"/>
  <c r="S139" i="3"/>
  <c r="R139" i="3"/>
  <c r="O139" i="3"/>
  <c r="T194" i="3"/>
  <c r="S194" i="3"/>
  <c r="R194" i="3"/>
  <c r="Q194" i="3"/>
  <c r="E196" i="4"/>
  <c r="AF196" i="4" s="1"/>
  <c r="P194" i="3"/>
  <c r="A196" i="4"/>
  <c r="O194" i="3"/>
  <c r="T42" i="3"/>
  <c r="S42" i="3"/>
  <c r="R42" i="3"/>
  <c r="Q42" i="3"/>
  <c r="P42" i="3"/>
  <c r="O42" i="3"/>
  <c r="R53" i="3"/>
  <c r="Q53" i="3"/>
  <c r="P53" i="3"/>
  <c r="O53" i="3"/>
  <c r="O59" i="3"/>
  <c r="S69" i="3"/>
  <c r="R69" i="3"/>
  <c r="O69" i="3"/>
  <c r="T74" i="3"/>
  <c r="S74" i="3"/>
  <c r="R74" i="3"/>
  <c r="Q74" i="3"/>
  <c r="P74" i="3"/>
  <c r="O74" i="3"/>
  <c r="T80" i="3"/>
  <c r="S80" i="3"/>
  <c r="R80" i="3"/>
  <c r="Q80" i="3"/>
  <c r="P80" i="3"/>
  <c r="O80" i="3"/>
  <c r="T132" i="3"/>
  <c r="S132" i="3"/>
  <c r="R132" i="3"/>
  <c r="Q132" i="3"/>
  <c r="O132" i="3"/>
  <c r="S151" i="3"/>
  <c r="T151" i="3"/>
  <c r="R151" i="3"/>
  <c r="Q151" i="3"/>
  <c r="P151" i="3"/>
  <c r="K153" i="4"/>
  <c r="O151" i="3"/>
  <c r="S177" i="3"/>
  <c r="Q177" i="3"/>
  <c r="I179" i="4"/>
  <c r="G179" i="4"/>
  <c r="O177" i="3"/>
  <c r="S195" i="3"/>
  <c r="T195" i="3"/>
  <c r="R195" i="3"/>
  <c r="J197" i="4"/>
  <c r="H197" i="4"/>
  <c r="F197" i="4"/>
  <c r="O195" i="3"/>
  <c r="T108" i="3"/>
  <c r="S108" i="3"/>
  <c r="R108" i="3"/>
  <c r="Q108" i="3"/>
  <c r="P108" i="3"/>
  <c r="O108" i="3"/>
  <c r="T120" i="3"/>
  <c r="S120" i="3"/>
  <c r="R120" i="3"/>
  <c r="Q120" i="3"/>
  <c r="P120" i="3"/>
  <c r="O120" i="3"/>
  <c r="T126" i="3"/>
  <c r="S126" i="3"/>
  <c r="R126" i="3"/>
  <c r="Q126" i="3"/>
  <c r="O126" i="3"/>
  <c r="N161" i="4"/>
  <c r="B200" i="4"/>
  <c r="R21" i="3"/>
  <c r="A23" i="4" s="1"/>
  <c r="O21" i="3"/>
  <c r="T21" i="3" s="1"/>
  <c r="P24" i="3"/>
  <c r="Q24" i="3" s="1"/>
  <c r="O24" i="3"/>
  <c r="S24" i="3" s="1"/>
  <c r="R27" i="3"/>
  <c r="A29" i="4" s="1"/>
  <c r="L29" i="4" s="1"/>
  <c r="O27" i="3"/>
  <c r="T27" i="3" s="1"/>
  <c r="P30" i="3"/>
  <c r="T30" i="3"/>
  <c r="O30" i="3"/>
  <c r="S33" i="3"/>
  <c r="R33" i="3"/>
  <c r="O33" i="3"/>
  <c r="P36" i="3"/>
  <c r="T36" i="3"/>
  <c r="O36" i="3"/>
  <c r="S39" i="3"/>
  <c r="R39" i="3"/>
  <c r="O39" i="3"/>
  <c r="T52" i="3"/>
  <c r="S52" i="3"/>
  <c r="R52" i="3"/>
  <c r="Q52" i="3"/>
  <c r="P52" i="3"/>
  <c r="O52" i="3"/>
  <c r="S57" i="3"/>
  <c r="R57" i="3"/>
  <c r="O57" i="3"/>
  <c r="O71" i="3"/>
  <c r="O95" i="3"/>
  <c r="T146" i="3"/>
  <c r="S146" i="3"/>
  <c r="R146" i="3"/>
  <c r="Q146" i="3"/>
  <c r="P146" i="3"/>
  <c r="O146" i="3"/>
  <c r="S153" i="3"/>
  <c r="Q153" i="3"/>
  <c r="O153" i="3"/>
  <c r="T164" i="3"/>
  <c r="S164" i="3"/>
  <c r="R164" i="3"/>
  <c r="Q164" i="3"/>
  <c r="O164" i="3"/>
  <c r="T174" i="3"/>
  <c r="S174" i="3"/>
  <c r="R174" i="3"/>
  <c r="Q174" i="3"/>
  <c r="O174" i="3"/>
  <c r="T180" i="3"/>
  <c r="S180" i="3"/>
  <c r="R180" i="3"/>
  <c r="Q180" i="3"/>
  <c r="O180" i="3"/>
  <c r="S187" i="3"/>
  <c r="R187" i="3"/>
  <c r="O187" i="3"/>
  <c r="S191" i="3"/>
  <c r="P191" i="3"/>
  <c r="O191" i="3"/>
  <c r="N194" i="4"/>
  <c r="P16" i="3"/>
  <c r="Q16" i="3" s="1"/>
  <c r="O16" i="3"/>
  <c r="S16" i="3" s="1"/>
  <c r="R24" i="3"/>
  <c r="A26" i="4" s="1"/>
  <c r="R30" i="3"/>
  <c r="Q33" i="3"/>
  <c r="R36" i="3"/>
  <c r="Q39" i="3"/>
  <c r="T48" i="3"/>
  <c r="S48" i="3"/>
  <c r="R48" i="3"/>
  <c r="Q48" i="3"/>
  <c r="P48" i="3"/>
  <c r="O48" i="3"/>
  <c r="Q57" i="3"/>
  <c r="T66" i="3"/>
  <c r="S66" i="3"/>
  <c r="R66" i="3"/>
  <c r="Q66" i="3"/>
  <c r="P66" i="3"/>
  <c r="O66" i="3"/>
  <c r="Q71" i="3"/>
  <c r="S81" i="3"/>
  <c r="R81" i="3"/>
  <c r="O81" i="3"/>
  <c r="T90" i="3"/>
  <c r="S90" i="3"/>
  <c r="R90" i="3"/>
  <c r="Q90" i="3"/>
  <c r="P90" i="3"/>
  <c r="O90" i="3"/>
  <c r="Q95" i="3"/>
  <c r="S105" i="3"/>
  <c r="R105" i="3"/>
  <c r="O105" i="3"/>
  <c r="T114" i="3"/>
  <c r="S114" i="3"/>
  <c r="R114" i="3"/>
  <c r="Q114" i="3"/>
  <c r="P114" i="3"/>
  <c r="O114" i="3"/>
  <c r="R153" i="3"/>
  <c r="S175" i="3"/>
  <c r="T175" i="3"/>
  <c r="R175" i="3"/>
  <c r="Q175" i="3"/>
  <c r="P175" i="3"/>
  <c r="O175" i="3"/>
  <c r="Q187" i="3"/>
  <c r="R191" i="3"/>
  <c r="T62" i="3"/>
  <c r="S62" i="3"/>
  <c r="R62" i="3"/>
  <c r="Q62" i="3"/>
  <c r="P62" i="3"/>
  <c r="O62" i="3"/>
  <c r="O77" i="3"/>
  <c r="O101" i="3"/>
  <c r="S137" i="3"/>
  <c r="T137" i="3"/>
  <c r="R137" i="3"/>
  <c r="Q137" i="3"/>
  <c r="O137" i="3"/>
  <c r="T142" i="3"/>
  <c r="S142" i="3"/>
  <c r="R142" i="3"/>
  <c r="Q142" i="3"/>
  <c r="O142" i="3"/>
  <c r="T170" i="3"/>
  <c r="S170" i="3"/>
  <c r="R170" i="3"/>
  <c r="Q170" i="3"/>
  <c r="P170" i="3"/>
  <c r="O170" i="3"/>
  <c r="T198" i="3"/>
  <c r="S198" i="3"/>
  <c r="R198" i="3"/>
  <c r="Q198" i="3"/>
  <c r="E200" i="4"/>
  <c r="AF200" i="4" s="1"/>
  <c r="A200" i="4"/>
  <c r="O198" i="3"/>
  <c r="P198" i="3"/>
  <c r="O133" i="3"/>
  <c r="T136" i="3"/>
  <c r="S136" i="3"/>
  <c r="R136" i="3"/>
  <c r="Q136" i="3"/>
  <c r="O136" i="3"/>
  <c r="O157" i="3"/>
  <c r="T160" i="3"/>
  <c r="S160" i="3"/>
  <c r="R160" i="3"/>
  <c r="Q160" i="3"/>
  <c r="O160" i="3"/>
  <c r="O181" i="3"/>
  <c r="T184" i="3"/>
  <c r="S184" i="3"/>
  <c r="R184" i="3"/>
  <c r="Q184" i="3"/>
  <c r="O184" i="3"/>
  <c r="T197" i="3"/>
  <c r="T133" i="3"/>
  <c r="O141" i="3"/>
  <c r="T144" i="3"/>
  <c r="S144" i="3"/>
  <c r="R144" i="3"/>
  <c r="Q144" i="3"/>
  <c r="O144" i="3"/>
  <c r="T157" i="3"/>
  <c r="O165" i="3"/>
  <c r="T168" i="3"/>
  <c r="S168" i="3"/>
  <c r="R168" i="3"/>
  <c r="Q168" i="3"/>
  <c r="O168" i="3"/>
  <c r="T181" i="3"/>
  <c r="O189" i="3"/>
  <c r="T192" i="3"/>
  <c r="S192" i="3"/>
  <c r="R192" i="3"/>
  <c r="Q192" i="3"/>
  <c r="O192" i="3"/>
  <c r="O43" i="3"/>
  <c r="O49" i="3"/>
  <c r="O55" i="3"/>
  <c r="O61" i="3"/>
  <c r="O67" i="3"/>
  <c r="O73" i="3"/>
  <c r="O79" i="3"/>
  <c r="O85" i="3"/>
  <c r="O91" i="3"/>
  <c r="O97" i="3"/>
  <c r="O103" i="3"/>
  <c r="O109" i="3"/>
  <c r="O115" i="3"/>
  <c r="O121" i="3"/>
  <c r="O131" i="3"/>
  <c r="T134" i="3"/>
  <c r="S134" i="3"/>
  <c r="R134" i="3"/>
  <c r="Q134" i="3"/>
  <c r="O134" i="3"/>
  <c r="O155" i="3"/>
  <c r="T158" i="3"/>
  <c r="S158" i="3"/>
  <c r="R158" i="3"/>
  <c r="Q158" i="3"/>
  <c r="O158" i="3"/>
  <c r="O179" i="3"/>
  <c r="T182" i="3"/>
  <c r="S182" i="3"/>
  <c r="R182" i="3"/>
  <c r="Q182" i="3"/>
  <c r="O182" i="3"/>
  <c r="T124" i="3"/>
  <c r="S124" i="3"/>
  <c r="R124" i="3"/>
  <c r="Q124" i="3"/>
  <c r="O124" i="3"/>
  <c r="O145" i="3"/>
  <c r="T148" i="3"/>
  <c r="S148" i="3"/>
  <c r="R148" i="3"/>
  <c r="Q148" i="3"/>
  <c r="O148" i="3"/>
  <c r="O169" i="3"/>
  <c r="T172" i="3"/>
  <c r="S172" i="3"/>
  <c r="R172" i="3"/>
  <c r="Q172" i="3"/>
  <c r="O172" i="3"/>
  <c r="O193" i="3"/>
  <c r="T196" i="3"/>
  <c r="S196" i="3"/>
  <c r="R196" i="3"/>
  <c r="Q196" i="3"/>
  <c r="O196" i="3"/>
  <c r="T70" i="3"/>
  <c r="S70" i="3"/>
  <c r="R70" i="3"/>
  <c r="Q70" i="3"/>
  <c r="O70" i="3"/>
  <c r="T76" i="3"/>
  <c r="S76" i="3"/>
  <c r="R76" i="3"/>
  <c r="Q76" i="3"/>
  <c r="O76" i="3"/>
  <c r="T82" i="3"/>
  <c r="S82" i="3"/>
  <c r="R82" i="3"/>
  <c r="Q82" i="3"/>
  <c r="O82" i="3"/>
  <c r="T88" i="3"/>
  <c r="S88" i="3"/>
  <c r="R88" i="3"/>
  <c r="Q88" i="3"/>
  <c r="O88" i="3"/>
  <c r="T94" i="3"/>
  <c r="S94" i="3"/>
  <c r="R94" i="3"/>
  <c r="Q94" i="3"/>
  <c r="O94" i="3"/>
  <c r="T100" i="3"/>
  <c r="S100" i="3"/>
  <c r="R100" i="3"/>
  <c r="Q100" i="3"/>
  <c r="O100" i="3"/>
  <c r="T106" i="3"/>
  <c r="S106" i="3"/>
  <c r="R106" i="3"/>
  <c r="Q106" i="3"/>
  <c r="O106" i="3"/>
  <c r="T112" i="3"/>
  <c r="S112" i="3"/>
  <c r="R112" i="3"/>
  <c r="Q112" i="3"/>
  <c r="O112" i="3"/>
  <c r="T118" i="3"/>
  <c r="S118" i="3"/>
  <c r="R118" i="3"/>
  <c r="Q118" i="3"/>
  <c r="O118" i="3"/>
  <c r="P124" i="3"/>
  <c r="O135" i="3"/>
  <c r="T138" i="3"/>
  <c r="S138" i="3"/>
  <c r="R138" i="3"/>
  <c r="Q138" i="3"/>
  <c r="O138" i="3"/>
  <c r="P145" i="3"/>
  <c r="P148" i="3"/>
  <c r="O159" i="3"/>
  <c r="T162" i="3"/>
  <c r="S162" i="3"/>
  <c r="R162" i="3"/>
  <c r="Q162" i="3"/>
  <c r="O162" i="3"/>
  <c r="P169" i="3"/>
  <c r="O183" i="3"/>
  <c r="T186" i="3"/>
  <c r="S186" i="3"/>
  <c r="R186" i="3"/>
  <c r="Q186" i="3"/>
  <c r="O186" i="3"/>
  <c r="B4" i="7"/>
  <c r="O2" i="3"/>
  <c r="P70" i="3"/>
  <c r="P76" i="3"/>
  <c r="P82" i="3"/>
  <c r="P88" i="3"/>
  <c r="P94" i="3"/>
  <c r="P100" i="3"/>
  <c r="P106" i="3"/>
  <c r="P112" i="3"/>
  <c r="P118" i="3"/>
  <c r="O125" i="3"/>
  <c r="T128" i="3"/>
  <c r="S128" i="3"/>
  <c r="R128" i="3"/>
  <c r="Q128" i="3"/>
  <c r="O128" i="3"/>
  <c r="R131" i="3"/>
  <c r="P135" i="3"/>
  <c r="P138" i="3"/>
  <c r="Q145" i="3"/>
  <c r="O149" i="3"/>
  <c r="T152" i="3"/>
  <c r="S152" i="3"/>
  <c r="R152" i="3"/>
  <c r="Q152" i="3"/>
  <c r="O152" i="3"/>
  <c r="R155" i="3"/>
  <c r="P159" i="3"/>
  <c r="P162" i="3"/>
  <c r="Q169" i="3"/>
  <c r="O173" i="3"/>
  <c r="T176" i="3"/>
  <c r="S176" i="3"/>
  <c r="R176" i="3"/>
  <c r="Q176" i="3"/>
  <c r="O176" i="3"/>
  <c r="R179" i="3"/>
  <c r="P183" i="3"/>
  <c r="P186" i="3"/>
  <c r="Q193" i="3"/>
  <c r="O197" i="3"/>
  <c r="T200" i="3"/>
  <c r="S200" i="3"/>
  <c r="R200" i="3"/>
  <c r="Q200" i="3"/>
  <c r="O200" i="3"/>
  <c r="L85" i="4" l="1"/>
  <c r="N85" i="4"/>
  <c r="N110" i="4"/>
  <c r="L110" i="4"/>
  <c r="AC101" i="4"/>
  <c r="AJ101" i="4"/>
  <c r="L186" i="4"/>
  <c r="AJ186" i="4"/>
  <c r="L26" i="4"/>
  <c r="W26" i="4"/>
  <c r="T29" i="3"/>
  <c r="S29" i="3"/>
  <c r="S28" i="3"/>
  <c r="AJ30" i="4"/>
  <c r="L30" i="4"/>
  <c r="AC133" i="4"/>
  <c r="AJ177" i="4"/>
  <c r="AJ19" i="4"/>
  <c r="AJ61" i="4"/>
  <c r="L98" i="4"/>
  <c r="AJ110" i="4"/>
  <c r="AJ129" i="4"/>
  <c r="N98" i="4"/>
  <c r="AC110" i="4"/>
  <c r="L183" i="4"/>
  <c r="N129" i="4"/>
  <c r="AH110" i="4"/>
  <c r="AC160" i="4"/>
  <c r="L133" i="4"/>
  <c r="L129" i="4"/>
  <c r="AJ115" i="4"/>
  <c r="W85" i="4"/>
  <c r="AJ98" i="4"/>
  <c r="N186" i="4"/>
  <c r="W110" i="4"/>
  <c r="L160" i="4"/>
  <c r="AH130" i="4"/>
  <c r="W43" i="4"/>
  <c r="N34" i="4"/>
  <c r="W83" i="4"/>
  <c r="W71" i="4"/>
  <c r="AC85" i="4"/>
  <c r="AC186" i="4"/>
  <c r="AJ71" i="4"/>
  <c r="AH153" i="4"/>
  <c r="W162" i="4"/>
  <c r="L141" i="4"/>
  <c r="AC115" i="4"/>
  <c r="AC69" i="4"/>
  <c r="AC75" i="4"/>
  <c r="W186" i="4"/>
  <c r="W74" i="4"/>
  <c r="AJ21" i="4"/>
  <c r="AC162" i="4"/>
  <c r="W141" i="4"/>
  <c r="AH75" i="4"/>
  <c r="N63" i="4"/>
  <c r="W135" i="4"/>
  <c r="AC35" i="4"/>
  <c r="W123" i="4"/>
  <c r="S27" i="3"/>
  <c r="S26" i="3"/>
  <c r="AJ74" i="4"/>
  <c r="AH74" i="4"/>
  <c r="N93" i="4"/>
  <c r="W94" i="4"/>
  <c r="AC34" i="4"/>
  <c r="L92" i="4"/>
  <c r="AJ35" i="4"/>
  <c r="AH122" i="4"/>
  <c r="W122" i="4"/>
  <c r="AH57" i="4"/>
  <c r="L61" i="4"/>
  <c r="AJ39" i="4"/>
  <c r="AH85" i="4"/>
  <c r="W34" i="4"/>
  <c r="AH186" i="4"/>
  <c r="AH35" i="4"/>
  <c r="W35" i="4"/>
  <c r="L94" i="4"/>
  <c r="N35" i="4"/>
  <c r="AH92" i="4"/>
  <c r="W189" i="4"/>
  <c r="AJ182" i="4"/>
  <c r="L147" i="4"/>
  <c r="AH93" i="4"/>
  <c r="AH43" i="4"/>
  <c r="N144" i="4"/>
  <c r="AC94" i="4"/>
  <c r="AC39" i="4"/>
  <c r="N99" i="4"/>
  <c r="AH135" i="4"/>
  <c r="N189" i="4"/>
  <c r="AC144" i="4"/>
  <c r="N57" i="4"/>
  <c r="W99" i="4"/>
  <c r="AJ135" i="4"/>
  <c r="W92" i="4"/>
  <c r="N127" i="4"/>
  <c r="AC99" i="4"/>
  <c r="AH34" i="4"/>
  <c r="AC135" i="4"/>
  <c r="AH189" i="4"/>
  <c r="W72" i="4"/>
  <c r="N75" i="4"/>
  <c r="AH99" i="4"/>
  <c r="AJ34" i="4"/>
  <c r="N94" i="4"/>
  <c r="W75" i="4"/>
  <c r="AJ99" i="4"/>
  <c r="AJ10" i="4"/>
  <c r="AJ6" i="4"/>
  <c r="AJ27" i="4"/>
  <c r="L27" i="4"/>
  <c r="T25" i="3"/>
  <c r="L25" i="4"/>
  <c r="AC25" i="4"/>
  <c r="AJ25" i="4"/>
  <c r="T24" i="3"/>
  <c r="S23" i="3"/>
  <c r="S22" i="3"/>
  <c r="AJ97" i="4"/>
  <c r="W183" i="4"/>
  <c r="AJ114" i="4"/>
  <c r="AJ171" i="4"/>
  <c r="AJ162" i="4"/>
  <c r="AC171" i="4"/>
  <c r="AC87" i="4"/>
  <c r="AH127" i="4"/>
  <c r="AJ94" i="4"/>
  <c r="AJ82" i="4"/>
  <c r="AJ123" i="4"/>
  <c r="W181" i="4"/>
  <c r="AJ8" i="4"/>
  <c r="AH185" i="4"/>
  <c r="N69" i="4"/>
  <c r="L69" i="4"/>
  <c r="W93" i="4"/>
  <c r="L93" i="4"/>
  <c r="AH114" i="4"/>
  <c r="AC114" i="4"/>
  <c r="L114" i="4"/>
  <c r="N82" i="4"/>
  <c r="AJ144" i="4"/>
  <c r="W144" i="4"/>
  <c r="L144" i="4"/>
  <c r="W60" i="4"/>
  <c r="AJ60" i="4"/>
  <c r="N60" i="4"/>
  <c r="AC134" i="4"/>
  <c r="L185" i="4"/>
  <c r="N155" i="4"/>
  <c r="AH171" i="4"/>
  <c r="N181" i="4"/>
  <c r="AJ127" i="4"/>
  <c r="AC181" i="4"/>
  <c r="W155" i="4"/>
  <c r="AC60" i="4"/>
  <c r="L89" i="4"/>
  <c r="AJ185" i="4"/>
  <c r="N188" i="4"/>
  <c r="AC188" i="4"/>
  <c r="W188" i="4"/>
  <c r="AJ188" i="4"/>
  <c r="AH96" i="4"/>
  <c r="L96" i="4"/>
  <c r="L41" i="4"/>
  <c r="AH41" i="4"/>
  <c r="AH97" i="4"/>
  <c r="N76" i="4"/>
  <c r="AC76" i="4"/>
  <c r="AH76" i="4"/>
  <c r="AJ76" i="4"/>
  <c r="W76" i="4"/>
  <c r="L76" i="4"/>
  <c r="AC29" i="4"/>
  <c r="N147" i="4"/>
  <c r="AJ147" i="4"/>
  <c r="AH147" i="4"/>
  <c r="W147" i="4"/>
  <c r="AJ29" i="4"/>
  <c r="W87" i="4"/>
  <c r="L60" i="4"/>
  <c r="N89" i="4"/>
  <c r="AC185" i="4"/>
  <c r="N123" i="4"/>
  <c r="W134" i="4"/>
  <c r="N185" i="4"/>
  <c r="N152" i="4"/>
  <c r="AC123" i="4"/>
  <c r="AC89" i="4"/>
  <c r="AH181" i="4"/>
  <c r="N134" i="4"/>
  <c r="AH152" i="4"/>
  <c r="AJ89" i="4"/>
  <c r="AJ181" i="4"/>
  <c r="AH60" i="4"/>
  <c r="AH134" i="4"/>
  <c r="AJ28" i="4"/>
  <c r="W89" i="4"/>
  <c r="W127" i="4"/>
  <c r="N115" i="4"/>
  <c r="L115" i="4"/>
  <c r="AC38" i="4"/>
  <c r="W38" i="4"/>
  <c r="L38" i="4"/>
  <c r="AJ134" i="4"/>
  <c r="AC26" i="4"/>
  <c r="AJ26" i="4"/>
  <c r="L28" i="4"/>
  <c r="AH155" i="4"/>
  <c r="L155" i="4"/>
  <c r="AC82" i="4"/>
  <c r="N183" i="4"/>
  <c r="W171" i="4"/>
  <c r="L36" i="4"/>
  <c r="N177" i="4"/>
  <c r="AJ183" i="4"/>
  <c r="L127" i="4"/>
  <c r="L189" i="4"/>
  <c r="AC189" i="4"/>
  <c r="AC74" i="4"/>
  <c r="L74" i="4"/>
  <c r="AH61" i="4"/>
  <c r="N61" i="4"/>
  <c r="N92" i="4"/>
  <c r="AJ92" i="4"/>
  <c r="AH37" i="4"/>
  <c r="N37" i="4"/>
  <c r="L152" i="4"/>
  <c r="AC152" i="4"/>
  <c r="W152" i="4"/>
  <c r="W114" i="4"/>
  <c r="AH123" i="4"/>
  <c r="AC155" i="4"/>
  <c r="N97" i="4"/>
  <c r="W33" i="4"/>
  <c r="W177" i="4"/>
  <c r="AC119" i="4"/>
  <c r="N119" i="4"/>
  <c r="W47" i="4"/>
  <c r="AJ22" i="4"/>
  <c r="AJ47" i="4"/>
  <c r="L119" i="4"/>
  <c r="AJ70" i="4"/>
  <c r="AC70" i="4"/>
  <c r="AH70" i="4"/>
  <c r="N70" i="4"/>
  <c r="AH120" i="4"/>
  <c r="AJ120" i="4"/>
  <c r="W56" i="4"/>
  <c r="AJ56" i="4"/>
  <c r="S15" i="3"/>
  <c r="N56" i="4"/>
  <c r="AC141" i="4"/>
  <c r="N141" i="4"/>
  <c r="W154" i="4"/>
  <c r="AJ154" i="4"/>
  <c r="AH154" i="4"/>
  <c r="AC154" i="4"/>
  <c r="AH160" i="4"/>
  <c r="N160" i="4"/>
  <c r="AJ160" i="4"/>
  <c r="AH166" i="4"/>
  <c r="L166" i="4"/>
  <c r="L130" i="4"/>
  <c r="W130" i="4"/>
  <c r="N83" i="4"/>
  <c r="AH83" i="4"/>
  <c r="N136" i="4"/>
  <c r="AH136" i="4"/>
  <c r="W136" i="4"/>
  <c r="L136" i="4"/>
  <c r="AJ136" i="4"/>
  <c r="AC136" i="4"/>
  <c r="N175" i="4"/>
  <c r="W175" i="4"/>
  <c r="L175" i="4"/>
  <c r="AJ175" i="4"/>
  <c r="AH175" i="4"/>
  <c r="AC175" i="4"/>
  <c r="N47" i="4"/>
  <c r="AH47" i="4"/>
  <c r="AC47" i="4"/>
  <c r="L103" i="4"/>
  <c r="AH103" i="4"/>
  <c r="AC56" i="4"/>
  <c r="T5" i="3"/>
  <c r="N103" i="4"/>
  <c r="AC71" i="4"/>
  <c r="N71" i="4"/>
  <c r="N33" i="4"/>
  <c r="AJ33" i="4"/>
  <c r="AJ140" i="4"/>
  <c r="AC140" i="4"/>
  <c r="AH140" i="4"/>
  <c r="W140" i="4"/>
  <c r="AJ87" i="4"/>
  <c r="AJ119" i="4"/>
  <c r="W101" i="4"/>
  <c r="L101" i="4"/>
  <c r="AH101" i="4"/>
  <c r="N101" i="4"/>
  <c r="W120" i="4"/>
  <c r="W103" i="4"/>
  <c r="AH72" i="4"/>
  <c r="AC72" i="4"/>
  <c r="AJ72" i="4"/>
  <c r="AC86" i="4"/>
  <c r="L86" i="4"/>
  <c r="AH86" i="4"/>
  <c r="AJ86" i="4"/>
  <c r="W86" i="4"/>
  <c r="N32" i="4"/>
  <c r="L32" i="4"/>
  <c r="AC32" i="4"/>
  <c r="AH32" i="4"/>
  <c r="W32" i="4"/>
  <c r="AH87" i="4"/>
  <c r="AH119" i="4"/>
  <c r="L182" i="4"/>
  <c r="N182" i="4"/>
  <c r="AH182" i="4"/>
  <c r="N42" i="4"/>
  <c r="AJ42" i="4"/>
  <c r="AH42" i="4"/>
  <c r="AC42" i="4"/>
  <c r="W42" i="4"/>
  <c r="L42" i="4"/>
  <c r="AC62" i="4"/>
  <c r="AH62" i="4"/>
  <c r="N62" i="4"/>
  <c r="AJ62" i="4"/>
  <c r="L140" i="4"/>
  <c r="AJ12" i="4"/>
  <c r="L12" i="4"/>
  <c r="N162" i="4"/>
  <c r="AH162" i="4"/>
  <c r="AC174" i="4"/>
  <c r="AJ174" i="4"/>
  <c r="AH174" i="4"/>
  <c r="W174" i="4"/>
  <c r="L174" i="4"/>
  <c r="W70" i="4"/>
  <c r="L120" i="4"/>
  <c r="W182" i="4"/>
  <c r="AH33" i="4"/>
  <c r="AC103" i="4"/>
  <c r="AH82" i="4"/>
  <c r="AH133" i="4"/>
  <c r="AJ133" i="4"/>
  <c r="N18" i="4"/>
  <c r="AJ18" i="4"/>
  <c r="L18" i="4"/>
  <c r="AC18" i="4"/>
  <c r="AC122" i="4"/>
  <c r="AJ122" i="4"/>
  <c r="L122" i="4"/>
  <c r="AH63" i="4"/>
  <c r="W63" i="4"/>
  <c r="L63" i="4"/>
  <c r="AJ43" i="4"/>
  <c r="AC43" i="4"/>
  <c r="L43" i="4"/>
  <c r="AC120" i="4"/>
  <c r="W62" i="4"/>
  <c r="N120" i="4"/>
  <c r="N171" i="4"/>
  <c r="N87" i="4"/>
  <c r="L33" i="4"/>
  <c r="AJ103" i="4"/>
  <c r="L82" i="4"/>
  <c r="L153" i="4"/>
  <c r="AJ153" i="4"/>
  <c r="W153" i="4"/>
  <c r="AH165" i="4"/>
  <c r="AJ165" i="4"/>
  <c r="AC165" i="4"/>
  <c r="AC137" i="4"/>
  <c r="AJ137" i="4"/>
  <c r="AH137" i="4"/>
  <c r="W137" i="4"/>
  <c r="L137" i="4"/>
  <c r="AH129" i="4"/>
  <c r="AC129" i="4"/>
  <c r="W57" i="4"/>
  <c r="L57" i="4"/>
  <c r="AJ23" i="4"/>
  <c r="L23" i="4"/>
  <c r="S21" i="3"/>
  <c r="S20" i="3"/>
  <c r="S18" i="3"/>
  <c r="S3" i="3"/>
  <c r="T9" i="3"/>
  <c r="S7" i="3"/>
  <c r="AJ31" i="4"/>
  <c r="L31" i="4"/>
  <c r="AH203" i="4"/>
  <c r="W203" i="4"/>
  <c r="AJ203" i="4"/>
  <c r="N203" i="4"/>
  <c r="AC203" i="4"/>
  <c r="L203" i="4"/>
  <c r="AH40" i="4"/>
  <c r="AC40" i="4"/>
  <c r="W40" i="4"/>
  <c r="N40" i="4"/>
  <c r="AJ40" i="4"/>
  <c r="L40" i="4"/>
  <c r="W168" i="4"/>
  <c r="L168" i="4"/>
  <c r="AJ168" i="4"/>
  <c r="AH168" i="4"/>
  <c r="AC168" i="4"/>
  <c r="N168" i="4"/>
  <c r="AJ106" i="4"/>
  <c r="W106" i="4"/>
  <c r="N106" i="4"/>
  <c r="L106" i="4"/>
  <c r="AH106" i="4"/>
  <c r="AC106" i="4"/>
  <c r="S12" i="3"/>
  <c r="AJ15" i="4"/>
  <c r="L15" i="4"/>
  <c r="T19" i="3"/>
  <c r="S19" i="3"/>
  <c r="AJ14" i="4"/>
  <c r="L14" i="4"/>
  <c r="AC173" i="4"/>
  <c r="N173" i="4"/>
  <c r="W173" i="4"/>
  <c r="L173" i="4"/>
  <c r="AJ173" i="4"/>
  <c r="AH173" i="4"/>
  <c r="T11" i="3"/>
  <c r="B8" i="7"/>
  <c r="N88" i="4"/>
  <c r="W88" i="4"/>
  <c r="L88" i="4"/>
  <c r="AJ88" i="4"/>
  <c r="AC88" i="4"/>
  <c r="AH88" i="4"/>
  <c r="L16" i="4"/>
  <c r="AJ16" i="4"/>
  <c r="N163" i="4"/>
  <c r="AJ163" i="4"/>
  <c r="AH163" i="4"/>
  <c r="AC163" i="4"/>
  <c r="L163" i="4"/>
  <c r="W163" i="4"/>
  <c r="T16" i="3"/>
  <c r="AJ11" i="4"/>
  <c r="L11" i="4"/>
  <c r="T4" i="3"/>
  <c r="S4" i="3"/>
  <c r="S8" i="3"/>
  <c r="T8" i="3"/>
  <c r="L5" i="4"/>
  <c r="AJ5" i="4"/>
  <c r="W192" i="4"/>
  <c r="L192" i="4"/>
  <c r="AJ192" i="4"/>
  <c r="AH192" i="4"/>
  <c r="AC192" i="4"/>
  <c r="N192" i="4"/>
  <c r="N124" i="4"/>
  <c r="AH124" i="4"/>
  <c r="AC124" i="4"/>
  <c r="W124" i="4"/>
  <c r="L124" i="4"/>
  <c r="AJ124" i="4"/>
  <c r="N112" i="4"/>
  <c r="AH112" i="4"/>
  <c r="AC112" i="4"/>
  <c r="W112" i="4"/>
  <c r="L112" i="4"/>
  <c r="AJ112" i="4"/>
  <c r="W66" i="4"/>
  <c r="N66" i="4"/>
  <c r="L66" i="4"/>
  <c r="AC66" i="4"/>
  <c r="AH66" i="4"/>
  <c r="AJ66" i="4"/>
  <c r="T10" i="3"/>
  <c r="S10" i="3"/>
  <c r="N187" i="4"/>
  <c r="AJ187" i="4"/>
  <c r="AH187" i="4"/>
  <c r="AC187" i="4"/>
  <c r="W187" i="4"/>
  <c r="L187" i="4"/>
  <c r="AH200" i="4"/>
  <c r="N200" i="4"/>
  <c r="AJ200" i="4"/>
  <c r="L200" i="4"/>
  <c r="AC200" i="4"/>
  <c r="W200" i="4"/>
  <c r="AH196" i="4"/>
  <c r="W196" i="4"/>
  <c r="L196" i="4"/>
  <c r="AJ196" i="4"/>
  <c r="AC196" i="4"/>
  <c r="N196" i="4"/>
  <c r="L9" i="4"/>
  <c r="AJ9" i="4"/>
  <c r="AJ17" i="4"/>
  <c r="L17" i="4"/>
  <c r="N100" i="4"/>
  <c r="W100" i="4"/>
  <c r="L100" i="4"/>
  <c r="AC100" i="4"/>
  <c r="AJ100" i="4"/>
  <c r="AH100" i="4"/>
  <c r="L13" i="4"/>
  <c r="AJ13" i="4"/>
  <c r="L20" i="4"/>
  <c r="AJ20" i="4"/>
  <c r="AJ7" i="4"/>
  <c r="L7" i="4"/>
  <c r="L131" i="4"/>
  <c r="AC131" i="4"/>
  <c r="W131" i="4"/>
  <c r="N131" i="4"/>
  <c r="AH131" i="4"/>
  <c r="AJ131" i="4"/>
  <c r="S17" i="3"/>
  <c r="T17" i="3"/>
  <c r="S13" i="3"/>
  <c r="B5" i="7"/>
  <c r="T2" i="3"/>
  <c r="S2" i="3"/>
  <c r="B20" i="5"/>
  <c r="D7" i="5"/>
  <c r="D19" i="5"/>
  <c r="B7" i="5"/>
  <c r="B28" i="5"/>
  <c r="B19" i="5"/>
  <c r="D6" i="5"/>
  <c r="D27" i="5"/>
  <c r="B15" i="5"/>
  <c r="B6" i="5"/>
  <c r="D25" i="5"/>
  <c r="B13" i="5"/>
  <c r="B6" i="7"/>
  <c r="D9" i="5"/>
  <c r="B9" i="5"/>
  <c r="B27" i="5"/>
  <c r="D8" i="5"/>
  <c r="D26" i="5"/>
  <c r="B8" i="5"/>
  <c r="B26" i="5"/>
  <c r="D5" i="5"/>
  <c r="D20" i="5"/>
  <c r="B25" i="5"/>
  <c r="D21" i="5"/>
  <c r="B21" i="5"/>
  <c r="D14" i="5"/>
  <c r="B14" i="5"/>
  <c r="D13" i="5"/>
  <c r="AJ4" i="4"/>
  <c r="D28" i="5" s="1"/>
  <c r="L4" i="4"/>
  <c r="T6" i="3"/>
  <c r="S6" i="3"/>
  <c r="AJ53" i="4"/>
  <c r="AH53" i="4"/>
  <c r="W53" i="4"/>
  <c r="N53" i="4"/>
  <c r="AC53" i="4"/>
  <c r="L53" i="4"/>
  <c r="T14" i="3"/>
  <c r="E10" i="7" l="1"/>
  <c r="E11" i="7"/>
  <c r="E6" i="7"/>
  <c r="E9" i="7"/>
  <c r="B7" i="7"/>
  <c r="E4" i="7"/>
  <c r="E8" i="7"/>
  <c r="E5" i="7"/>
  <c r="E7" i="7"/>
  <c r="B9" i="7"/>
</calcChain>
</file>

<file path=xl/sharedStrings.xml><?xml version="1.0" encoding="utf-8"?>
<sst xmlns="http://schemas.openxmlformats.org/spreadsheetml/2006/main" count="975" uniqueCount="433">
  <si>
    <t>MASTER CONEXIÓN FORMULARIO → ORDEN DE TRABAJO IM</t>
  </si>
  <si>
    <t>Objetivo</t>
  </si>
  <si>
    <t>Recibir solicitudes de Microsoft Forms, normalizarlas y generar automáticamente una OT maestra con trazabilidad de Diseño, Preprensa, Producción, Calidad y Cierre.</t>
  </si>
  <si>
    <t>Paso</t>
  </si>
  <si>
    <t>Responsable</t>
  </si>
  <si>
    <t>Acción en el archivo</t>
  </si>
  <si>
    <t>Hoja</t>
  </si>
  <si>
    <t>Resultado esperado</t>
  </si>
  <si>
    <t>Observación</t>
  </si>
  <si>
    <t>Cliente interno</t>
  </si>
  <si>
    <t>Diligencia Microsoft Forms</t>
  </si>
  <si>
    <t>Formulario externo</t>
  </si>
  <si>
    <t>Registro de solicitud</t>
  </si>
  <si>
    <t>Link en hoja Catalogos</t>
  </si>
  <si>
    <t>Coordinador / Imprenta</t>
  </si>
  <si>
    <t>Pega o actualiza export de Forms en 01_Forms_Raw</t>
  </si>
  <si>
    <t>01_Forms_Raw</t>
  </si>
  <si>
    <t>Datos crudos recibidos</t>
  </si>
  <si>
    <t>No editar fórmulas en hojas 02 y 03</t>
  </si>
  <si>
    <t>Sistema Excel</t>
  </si>
  <si>
    <t>Normaliza campos, genera número OT y valida información</t>
  </si>
  <si>
    <t>02_Base_Solicitudes</t>
  </si>
  <si>
    <t>Solicitud lista para OT</t>
  </si>
  <si>
    <t>Campos verdes = calculados</t>
  </si>
  <si>
    <t>Diseño / Comunicaciones</t>
  </si>
  <si>
    <t>03_OT_Maestra</t>
  </si>
  <si>
    <t>Diseño aprobado o pendiente</t>
  </si>
  <si>
    <t>Campos amarillos = editar</t>
  </si>
  <si>
    <t>Preprensa / Imprenta</t>
  </si>
  <si>
    <t>Completa especificación técnica, material, máquina, inventario y producción</t>
  </si>
  <si>
    <t>OT lista para producir</t>
  </si>
  <si>
    <t>Incluye input del Sr. Julio / operador</t>
  </si>
  <si>
    <t>Calidad / Cierre</t>
  </si>
  <si>
    <t>Registra control de calidad, entrega, fecha cierre y estado</t>
  </si>
  <si>
    <t>Trazabilidad completa y KPIs</t>
  </si>
  <si>
    <t>Dashboard automático</t>
  </si>
  <si>
    <t>Convención de colores</t>
  </si>
  <si>
    <t>Azul = encabezados</t>
  </si>
  <si>
    <t>Amarillo = campos editables</t>
  </si>
  <si>
    <t>Verde = campos calculados</t>
  </si>
  <si>
    <t>Naranja = alertas / SLA</t>
  </si>
  <si>
    <t>Fuentes internas del proyecto</t>
  </si>
  <si>
    <t>Solicitud Servicio_V1_Imprenta UM.xlsx</t>
  </si>
  <si>
    <t>Export de Microsoft Forms con campos del solicitante y solicitudes ejemplo</t>
  </si>
  <si>
    <t>OT_Maestra_V1_Imprenta_UM_Modelo.xlsx</t>
  </si>
  <si>
    <t>Base conceptual de OT Maestra con secciones de diseño, preprensa, producción y cierre</t>
  </si>
  <si>
    <t>Flujo Proceso_Imprenta_UM v1.2.pptx / Proyecto Reactivación PDF</t>
  </si>
  <si>
    <t>Proceso recomendado: Solicitud Digital → Diseño → Compras Planchas → Preprensa → Producción → Calidad → Entrega/KPIs</t>
  </si>
  <si>
    <t>Id</t>
  </si>
  <si>
    <t>Start time</t>
  </si>
  <si>
    <t>Completion time</t>
  </si>
  <si>
    <t>Dependencia / Área solicitante</t>
  </si>
  <si>
    <t>Nombre del solicitante</t>
  </si>
  <si>
    <t>Cargo</t>
  </si>
  <si>
    <t>Correo institucional</t>
  </si>
  <si>
    <t>Fecha de solicitud</t>
  </si>
  <si>
    <t>Nombre del trabajo solicitado</t>
  </si>
  <si>
    <t>Tipo de pieza gráfica</t>
  </si>
  <si>
    <t>Cantidad requerida</t>
  </si>
  <si>
    <t>Fecha requerida de entrega</t>
  </si>
  <si>
    <t>Comentarios adicionales</t>
  </si>
  <si>
    <t>Camilo Robledo</t>
  </si>
  <si>
    <t>Coordinador Contenido</t>
  </si>
  <si>
    <t>coordinadordecontenidos@unimetro.edu.co</t>
  </si>
  <si>
    <t>Miniblocks - Mercadeo / pieza promocional unimetro</t>
  </si>
  <si>
    <t>MiniBlocks</t>
  </si>
  <si>
    <t>Coordinador Comunicaciones</t>
  </si>
  <si>
    <t>Memos - pieza de mercadeo para el area de comunicaciones</t>
  </si>
  <si>
    <t>Memos</t>
  </si>
  <si>
    <t>Vicerrectoria</t>
  </si>
  <si>
    <t>Jose Luis Castro Guerra</t>
  </si>
  <si>
    <t>Vicerrector</t>
  </si>
  <si>
    <t>vice-rectoria@unimetro.edu.co</t>
  </si>
  <si>
    <t>Agendas</t>
  </si>
  <si>
    <t>Jose Luis Castro</t>
  </si>
  <si>
    <t>Abanicos - Material de promoción de la universidad</t>
  </si>
  <si>
    <t>Abanicos</t>
  </si>
  <si>
    <t>Indira Luz de la Rosa</t>
  </si>
  <si>
    <t>Asistente Vicerectoria</t>
  </si>
  <si>
    <t>idelarosa@unimetro.edu.co</t>
  </si>
  <si>
    <t>Actas de Grado</t>
  </si>
  <si>
    <t>Actas de grado</t>
  </si>
  <si>
    <t>Cotizar papel Opalina . Sr Julio Rivera consiguió la cotización de 150 pliegos en Dipaca - distribuidora papelera del caribe.</t>
  </si>
  <si>
    <t>Yarima Medrano Nazzer</t>
  </si>
  <si>
    <t>Directora Biblioteca</t>
  </si>
  <si>
    <t>directorabiblioteca@unimetro.edu.co</t>
  </si>
  <si>
    <t>Tarjetas de Prestamo</t>
  </si>
  <si>
    <t>Tarjetas Prestamo Biblioteca</t>
  </si>
  <si>
    <t>Esta solicitud tuvo una demora causada por el material que llego solo hasta el 4 de mayo.</t>
  </si>
  <si>
    <t>Bolsillos de tarjeta de préstamo</t>
  </si>
  <si>
    <t>Material pedido en Febrero solo se recepcionó hasta inicios de Mayo.</t>
  </si>
  <si>
    <t>Adhesivos de Colores para categorizar grupos de Libros</t>
  </si>
  <si>
    <t>Adhesivos de Colores</t>
  </si>
  <si>
    <t>Se realizaran adhesivos tamaño carta Amarillo, verde, rosado, gris, azul - 500/200/200/200/200. Se entregaron el 11 de Mayo</t>
  </si>
  <si>
    <t>Id Forms</t>
  </si>
  <si>
    <t>Fecha recepción</t>
  </si>
  <si>
    <t>Fecha solicitud</t>
  </si>
  <si>
    <t>Dependencia</t>
  </si>
  <si>
    <t>Solicitante</t>
  </si>
  <si>
    <t>Correo</t>
  </si>
  <si>
    <t>Nombre trabajo</t>
  </si>
  <si>
    <t>Tipo trabajo</t>
  </si>
  <si>
    <t>Cantidad</t>
  </si>
  <si>
    <t>Fecha requerida</t>
  </si>
  <si>
    <t>Comentarios solicitud</t>
  </si>
  <si>
    <t>Prioridad</t>
  </si>
  <si>
    <t>Estado solicitud</t>
  </si>
  <si>
    <t>Info completa</t>
  </si>
  <si>
    <t>Días SLA</t>
  </si>
  <si>
    <t>Alerta SLA</t>
  </si>
  <si>
    <t>Número OT</t>
  </si>
  <si>
    <t>Generar OT</t>
  </si>
  <si>
    <t>Observaciones validación</t>
  </si>
  <si>
    <t>Normal</t>
  </si>
  <si>
    <t>Recibida</t>
  </si>
  <si>
    <t>OT Maestra V1 - Integrada Formulario + Diseño + Preprensa + Producción</t>
  </si>
  <si>
    <t>Campos verdes = extraídos del formulario / Campos amarillos = input Diseño, Preprensa, Producción y Cierre</t>
  </si>
  <si>
    <t>Estado OT</t>
  </si>
  <si>
    <t>Responsable OT</t>
  </si>
  <si>
    <t>Diseñador</t>
  </si>
  <si>
    <t>Cliente aprobó</t>
  </si>
  <si>
    <t>Fecha aprobación</t>
  </si>
  <si>
    <t>Observaciones diseño</t>
  </si>
  <si>
    <t>Preprensa: color/tintas</t>
  </si>
  <si>
    <t>Preprensa: material</t>
  </si>
  <si>
    <t>Preprensa: acabado</t>
  </si>
  <si>
    <t>Preprensa: máquina sugerida</t>
  </si>
  <si>
    <t>¿Hay stock?</t>
  </si>
  <si>
    <t>Requiere compra</t>
  </si>
  <si>
    <t>Fecha inicio producción</t>
  </si>
  <si>
    <t>Fecha fin producción</t>
  </si>
  <si>
    <t>Cantidad producida</t>
  </si>
  <si>
    <t>Merma</t>
  </si>
  <si>
    <t>Control calidad OK</t>
  </si>
  <si>
    <t>Observaciones calidad</t>
  </si>
  <si>
    <t>Fecha entrega</t>
  </si>
  <si>
    <t>Recibido por</t>
  </si>
  <si>
    <t>Fecha cierre</t>
  </si>
  <si>
    <t>Tiempo ciclo días</t>
  </si>
  <si>
    <t>SLA cumplido</t>
  </si>
  <si>
    <t>Observaciones cierre</t>
  </si>
  <si>
    <t>Seleccione OT</t>
  </si>
  <si>
    <t>A. INFORMACIÓN GENERAL</t>
  </si>
  <si>
    <t>Estado</t>
  </si>
  <si>
    <t>B. DISEÑO Y APROBACIONES</t>
  </si>
  <si>
    <t>C. PREPRENSA</t>
  </si>
  <si>
    <t>Formato/Tamaño</t>
  </si>
  <si>
    <t>Color/Tintas</t>
  </si>
  <si>
    <t>Material</t>
  </si>
  <si>
    <t>Acabado</t>
  </si>
  <si>
    <t>Máquina sugerida</t>
  </si>
  <si>
    <t>Hay stock</t>
  </si>
  <si>
    <t>D. PRODUCCIÓN / CALIDAD / CIERRE</t>
  </si>
  <si>
    <t>Fecha inicio prod.</t>
  </si>
  <si>
    <t>Fecha fin prod.</t>
  </si>
  <si>
    <t>Calidad OK</t>
  </si>
  <si>
    <t>Dependencias</t>
  </si>
  <si>
    <t>Tipo Trabajo</t>
  </si>
  <si>
    <t>Máquina</t>
  </si>
  <si>
    <t>Color</t>
  </si>
  <si>
    <t>Sí/No</t>
  </si>
  <si>
    <t>Estado Solicitud</t>
  </si>
  <si>
    <t>Proveedor Planchas</t>
  </si>
  <si>
    <t>Parámetro</t>
  </si>
  <si>
    <t>Valor</t>
  </si>
  <si>
    <t>Rectoría</t>
  </si>
  <si>
    <t>Volante</t>
  </si>
  <si>
    <t>Urgente</t>
  </si>
  <si>
    <t>Abierta</t>
  </si>
  <si>
    <t>Julio Rivera</t>
  </si>
  <si>
    <t>Shinohara 52 Bicolor</t>
  </si>
  <si>
    <t>Bond 75 g</t>
  </si>
  <si>
    <t>Sin acabado</t>
  </si>
  <si>
    <t>Blanco y negro</t>
  </si>
  <si>
    <t>Sí</t>
  </si>
  <si>
    <t>Prefijo OT</t>
  </si>
  <si>
    <t>OT-UM-</t>
  </si>
  <si>
    <t>Vicerrectoría</t>
  </si>
  <si>
    <t>Afiche</t>
  </si>
  <si>
    <t>Diseño</t>
  </si>
  <si>
    <t>Operador imprenta</t>
  </si>
  <si>
    <t>Diseñador por asignar</t>
  </si>
  <si>
    <t>Ryobi 500N-NP-1</t>
  </si>
  <si>
    <t>Propalcote</t>
  </si>
  <si>
    <t>Corte</t>
  </si>
  <si>
    <t>Una tinta</t>
  </si>
  <si>
    <t>No</t>
  </si>
  <si>
    <t>Validada</t>
  </si>
  <si>
    <t>Año</t>
  </si>
  <si>
    <t>Dirección Administrativa</t>
  </si>
  <si>
    <t>Plegable</t>
  </si>
  <si>
    <t>Programado</t>
  </si>
  <si>
    <t>Preprensa</t>
  </si>
  <si>
    <t>Comunicaciones</t>
  </si>
  <si>
    <t>Ryobi 500N-NP-2</t>
  </si>
  <si>
    <t>Opalina</t>
  </si>
  <si>
    <t>Doblado</t>
  </si>
  <si>
    <t>Dos tintas</t>
  </si>
  <si>
    <t>Aprobada para OT</t>
  </si>
  <si>
    <t>Link Formulario</t>
  </si>
  <si>
    <t>https://forms.cloud.microsoft/r/aWUfLKWJiA</t>
  </si>
  <si>
    <t>Facultad Medicina</t>
  </si>
  <si>
    <t>Formato institucional</t>
  </si>
  <si>
    <t>Producción</t>
  </si>
  <si>
    <t>Troqueladora Saroglia Torino</t>
  </si>
  <si>
    <t>Cartulina</t>
  </si>
  <si>
    <t>Plastificado mate</t>
  </si>
  <si>
    <t>Full color</t>
  </si>
  <si>
    <t>En diseño</t>
  </si>
  <si>
    <t>Fuente</t>
  </si>
  <si>
    <t>Proyecto Imprenta UM</t>
  </si>
  <si>
    <t>Hospital</t>
  </si>
  <si>
    <t>Certificado</t>
  </si>
  <si>
    <t>Calidad</t>
  </si>
  <si>
    <t>Troqueladora Chandler USA</t>
  </si>
  <si>
    <t>Adhesivo</t>
  </si>
  <si>
    <t>Plastificado brillante</t>
  </si>
  <si>
    <t>Pendiente info</t>
  </si>
  <si>
    <t>IPS</t>
  </si>
  <si>
    <t>Diploma</t>
  </si>
  <si>
    <t>Cerrada</t>
  </si>
  <si>
    <t>Troqueladora Heidelberg</t>
  </si>
  <si>
    <t>Otro</t>
  </si>
  <si>
    <t>Perforado</t>
  </si>
  <si>
    <t>Rechazada</t>
  </si>
  <si>
    <t>Bienestar Universitario</t>
  </si>
  <si>
    <t>Tarjeta</t>
  </si>
  <si>
    <t>Cancelada</t>
  </si>
  <si>
    <t>Guillotina Perfecta Polygraph</t>
  </si>
  <si>
    <t>Anillado</t>
  </si>
  <si>
    <t>Sticker/Etiqueta</t>
  </si>
  <si>
    <t>En espera Compras</t>
  </si>
  <si>
    <t>Plastificadora</t>
  </si>
  <si>
    <t>Grapado</t>
  </si>
  <si>
    <t>Admisiones</t>
  </si>
  <si>
    <t>Compras Planchas</t>
  </si>
  <si>
    <t>Taladro Vertical Drp Kerma</t>
  </si>
  <si>
    <t>Biblioteca</t>
  </si>
  <si>
    <t>Otra</t>
  </si>
  <si>
    <t>Dashboard Operativo - Imprenta UM</t>
  </si>
  <si>
    <t>KPI</t>
  </si>
  <si>
    <t>Solicitudes recibidas</t>
  </si>
  <si>
    <t>Solicitudes completas</t>
  </si>
  <si>
    <t>OT creadas</t>
  </si>
  <si>
    <t>OT cerradas</t>
  </si>
  <si>
    <t>OT en riesgo SLA</t>
  </si>
  <si>
    <t>Merma total</t>
  </si>
  <si>
    <t>OT-UM-202605-001</t>
  </si>
  <si>
    <t>Elio Ortiz</t>
  </si>
  <si>
    <t>Director Administrativo</t>
  </si>
  <si>
    <t>eortizg@unimetro.edu.co</t>
  </si>
  <si>
    <t>Vicerrectoria - Direccion Administrativa</t>
  </si>
  <si>
    <t>Hojas Membreteadas</t>
  </si>
  <si>
    <t>Dejar 1/2 cm de sangrado para corte y refilo</t>
  </si>
  <si>
    <t>Planchas Listas</t>
  </si>
  <si>
    <t>Se entregaron por paquetes en Biblioteca según pedido</t>
  </si>
  <si>
    <t>ORDEN DE TRABAJO - IMPRENTA UM</t>
  </si>
  <si>
    <t>Preprensa: formato/tamaño (cm)</t>
  </si>
  <si>
    <t>20 x 13</t>
  </si>
  <si>
    <t>9 x 9</t>
  </si>
  <si>
    <t>28 x 22</t>
  </si>
  <si>
    <t>18.5 x 10.5</t>
  </si>
  <si>
    <t xml:space="preserve">Diseño y Plancha existente tamaño carta. </t>
  </si>
  <si>
    <t xml:space="preserve">Diseño, Plancha y Material ya listos, </t>
  </si>
  <si>
    <t>No requirió diseño, planca tampoco. Si material adhesivo que se utilizó</t>
  </si>
  <si>
    <t>17 x 10.5</t>
  </si>
  <si>
    <t>Observaciones</t>
  </si>
  <si>
    <t>Fecha aprobación diseño</t>
  </si>
  <si>
    <t xml:space="preserve">Se agregan pequeños visos de seguridad  </t>
  </si>
  <si>
    <t>Tinta Seguridad</t>
  </si>
  <si>
    <t xml:space="preserve">Se aplica barniz al logo de UM resaltar el nombre . Se entregan más de las 1000 inicialmente pactadas. </t>
  </si>
  <si>
    <t>Julian Ramirez</t>
  </si>
  <si>
    <t>Coordinador Imprenta UM</t>
  </si>
  <si>
    <t>jramirezo@unimetro.edu.co</t>
  </si>
  <si>
    <t>Individuales para bandejas de plazoleta de comidas</t>
  </si>
  <si>
    <t>Individuales para bandejas</t>
  </si>
  <si>
    <t>Volantes</t>
  </si>
  <si>
    <t>Los volantes de promoción de  los programas académicos se imprimen con policromia completa. Por lo cual require por volante 4 planchas. El departamento de Diseño y Comunicaciones está en proceso de elaboración del diseño.</t>
  </si>
  <si>
    <t>Este proyecto  de los individuales para bandejas lo está impulsando la rectoria de la universidad como parte de ¨awarness¨ en lugares externos a UM. Todavia no se tiene claridad el número completo de ejemplares a realizar. Se ingresa el pedido para darle trazabilidad.</t>
  </si>
  <si>
    <t>Material de la Agendas ya se adquirió. Al 11 de Junio la planchas están en proceso de elaboración por proveedor. Se requiere tecnico empastador para apoyar con el ensamble de las agendas</t>
  </si>
  <si>
    <t>Los abanicos hacen parte de un material de promoción. Todavía no tiene aprobación de Rectoría</t>
  </si>
  <si>
    <t>Entrega Parcial</t>
  </si>
  <si>
    <t>Idea en maduración , sin diseño, sin embargo ya está la OC del material, que se puede usar para Abanico o para volantes, llegado el caso</t>
  </si>
  <si>
    <t xml:space="preserve"> De cada programa se requieren 1000 volantes aproximadamente en  policromia</t>
  </si>
  <si>
    <t xml:space="preserve"> De cada programa se requieren 1000 volantes aproximadamente en policromia</t>
  </si>
  <si>
    <t>Se entregan  conforme a los colores solicitados por biblioteca</t>
  </si>
  <si>
    <t>16x22</t>
  </si>
  <si>
    <t>24x16</t>
  </si>
  <si>
    <t>45x 25</t>
  </si>
  <si>
    <t xml:space="preserve"> Se hicieron las correcciones del calendario, Planchas corregidas llegarón el 12 de Junio.</t>
  </si>
  <si>
    <t>Control calidad</t>
  </si>
  <si>
    <t>Pendiente</t>
  </si>
  <si>
    <t>Inicio de producción  25 Junio.  Entrega esperada el 24 de Julio de 500 ejemplares minimo. Se ha utilizado el apoyo del personal de centro de copiado para la plastificación de las portadas. Le plastificadora se recalentó, faltaron 340 contraportadas. Maquina shinohara continua con problemas de perdida de presión.  Contratista entregó el 14Jul26 portadas para 200 agendas. Se inicia la impresión de las hojas internas de la agentas. 15Jul26 se terminan los orificios de las tapas. 16jul26 se debe finalizar impresión frente y reverso de hojas. 17jul26 inicio de corte. Se emite OC anillos 17Jul26.Se continua corte de hojas internas. Se abren orificios de portadas.el 21Jul26. Orificios en hojas e incertos se hará el 22jul y se inicia ensamble el 23jul.Se entregan 250 a Bienestar el dia 24 y 200 unidades el sábado 25 a las 2pm. 50 a Rectoria el 27 de Julio. Se planea entregar las 500 faltantes de las 1000 inicialmente pedidas antes de finalizar el mes de Septiembre</t>
  </si>
  <si>
    <t>Diseño, Plancha y Material ya listos. Sin embargo para la creación de los Bolsillos se requiere: Creación de Troquel, grafado y ensamble o pegado del bolsillo. Se requerirá soporte externo para creación de troquel y troquelado del bolsillo, así como del grafado. Se planea pedir el apoyo del personal de biblioteca, una vez teniendo el bolsillo, ellos mismos podrán pegarlo en culquier momento libre. Así optimizamos el recurso y tiempo del personal de imprenta</t>
  </si>
  <si>
    <t>Agendas  - Material interno y de distribución externa para segundo semestre 2026</t>
  </si>
  <si>
    <t>Se divide el pedido inicial de1000 agendas en 2 etapas. 500 para inicio 2nd semestre de 2026 y las otras 500 para finales de Noviembre para suplir la necesidad de 1er semestre de 2027</t>
  </si>
  <si>
    <t>Se requiere que la portada sea la imagen del hospital y la contraportada, la imagen de las carreras de fondo azul</t>
  </si>
  <si>
    <t>Calendario 2027</t>
  </si>
  <si>
    <t>Calendarios</t>
  </si>
  <si>
    <t>Los Calendarios hacen parte la marca instutucional de la universidad. El diseño debe iniciarse desde 1ero de Agosto para que la Imprenta inicie la impresión a mas tardar el 1ero de Octubre.</t>
  </si>
  <si>
    <t>Mini Memos pedido de Vicerrectoria. Se entregan 50 unidades a Julio Higgins para campaña mercadeo del Dpto de Diseño y Comunicaciones</t>
  </si>
  <si>
    <t>Mini Blocks pedido de Vicerrectoria. Se entregan 50 unidades a Julio Higgins para campaña mercadeo del Dpto de Diseño y Comunicaciones. El resto de la producción se entregará a Rectoría</t>
  </si>
  <si>
    <t xml:space="preserve">Se entregan 760 unidades en esta primera etapa de miniblocks . Se utilizan los nuevos diseños  con 40 hojas en lugar de 30 Por lo cual se disminuyó la cantidad final entregada de 950 a 760.. Se le entregan a secretaria de Rectoria para su distribución. Recibe Lidia Cala.  </t>
  </si>
  <si>
    <t>Se entregaran 250 ejemplares inicialmente el 24 de Julio. 200 se entregaron el sabado 25. 55 unidades se entregaron el dia 27.  Se utilizan 6.5 resmas o 3250 pliegos. Esto implica hacer 104mil impresiones en 52mil hojas. Notas para Mejora - Se debe pedir una maquina perforadora y anilladora Nueva. Se tienen 2  antiguas en muy mal estado. Se debe buscar el servicio técnico de ellas</t>
  </si>
  <si>
    <t>Entrega Parcial 40 miniblocks al Dpto de Comunicaciones y Diseño para evento. 270 unidades se entregan a Sec. Rectoria el 25 de Junio. Se envián a grafar 644 portadas en el centro.Valor de $25k por el millar. 270uni entregadas el 21 de Julio. Se entregan un total de 750 unidades de miniblocks cada uno de 40 hojas.</t>
  </si>
  <si>
    <t>Tartjetas de préstamo en cartulina bristol azul. La impresión se realiza por frente y reverso de acuerdo al estándar d e la biblioteca. Se pueden entregar las tarjetas  a esta dependencia el dia 3 de Agosto.</t>
  </si>
  <si>
    <t>Existe Diseño, este es enviado el 3de julio de 2026. El pedido de caja de 10 resmas para prueba piloto, llega el 4 de Julio. Planchas llegan el 8 de Julio. Se aplaza el inicio por el trabajo de  las agendas. El 30 deJulio se requiere por parte de gerente administrativo de las hojas membrete.</t>
  </si>
  <si>
    <t>Coordinadora de Desarrollo Humano</t>
  </si>
  <si>
    <t>desarrollohumano@unimetro.edu.co</t>
  </si>
  <si>
    <t>ACTUALIZACION DE FOLLETO DE SALUD MENTAL</t>
  </si>
  <si>
    <t>Folletos</t>
  </si>
  <si>
    <t>Katty Aguas Gamarra</t>
  </si>
  <si>
    <t>El diseño fue enviado a su correo institucional.</t>
  </si>
  <si>
    <t>Julio Higgins</t>
  </si>
  <si>
    <t>Relaciones Publicas</t>
  </si>
  <si>
    <t>relacionespublicas@unimetro.edu.co</t>
  </si>
  <si>
    <t>Volantes Pregrado y Postgrado Unimetro</t>
  </si>
  <si>
    <t>Se utilizará el diseño anterior que contaba con 10 programas de pre y post grado. Se recomienda al departamento de comunicaciones y mercadeo realizar un nuevo diseño para el próximo batch</t>
  </si>
  <si>
    <t>21x15</t>
  </si>
  <si>
    <t xml:space="preserve">En proceso de diseño. 1 sola virgen.Opciones deben ser presentadas a Rectoria para aprobación </t>
  </si>
  <si>
    <t xml:space="preserve">Se entregan a Rectoria los volantes informativos con QR. QR carga correctamente. No se plastifican. Se imprimen en alta calidad en propalcote200. </t>
  </si>
  <si>
    <t>Se entrega a Rectoria las 900 unidades para el evento que tiene relaciones públicas el 6 de Agosto</t>
  </si>
  <si>
    <t>Se realizó una prueba con diseño v1. Segundo diseño aprobado por parte de rectoria. Se envía diseño para planchas el 3 de julio. Planchas llegan el 8 de Julio. Pedido del Papel llegó 31 de Julio 2026. Se inicia corte del material el dia 5 de Agosto.</t>
  </si>
  <si>
    <t>De las 500 por resma, se entregan 485. Se tuvo un 3% de merma pues no pasó el control de calidad. Tuvimos problema con el sistema de pinzas,que ocacionó el movimiento de la hoja de torre a torre, por lo cual la tinta negra tuvo un pequeño desplazamiento en una hojas</t>
  </si>
  <si>
    <t>Se entregan 9 resmas a Almacén para su custodía y distribución a las dependencias que lo soliciten. 1 resma queda para el servicio de la gerencia administrativa</t>
  </si>
  <si>
    <t>Hojas membretadas uso institucional para varias dependencias</t>
  </si>
  <si>
    <t>Se estima que para finalesde junio se debe tener la hojas membretadas para el uso en varias dependencias.</t>
  </si>
  <si>
    <t>ACTUALIZACION DE FOLLETO DE LOS SERVICIOS DE BIENESTAR UNIVERSITARIO</t>
  </si>
  <si>
    <t>Se imprimió el dia 5 de Agosto la 2nd plancha, sin embargo despues de imprimir una muestras, se encontró un discrepancia con el fondo negro y el tono azul. Otros detalles como + futuro no era claro y legible. Se explicó al diseñador y se hicieron los cambios respectivos Plancha se recibió el 10 de Ago y se imprimueron las 3.6k piezas. Se lleva a rectoria para decidir corte o no de margen.</t>
  </si>
  <si>
    <t xml:space="preserve">Se recibe aprobación del diseño el 6 de Agosto. Se hae pedido de planchas y envio de diseño el 11 de Agosto. </t>
  </si>
  <si>
    <t xml:space="preserve">El diseño fue enviado por Katty de las Aguas de desarrollo humano. Debe ser validado por ComyMercadeo. Igual que la aprobación. Se recibe aprobación del diseño el 6 de Agosto. Se hae pedido de planchas y envio de diseño el 11 de Agosto. </t>
  </si>
  <si>
    <t>Volantes QR Pregrado y Postgrado Actualizado Unimetro</t>
  </si>
  <si>
    <t>Se aprobó una nueva versión del volante infomativo de las carreras, Este volante informativo se requiere para todo el año, es decir, una buena cantidad de ejemplares se requieren. Para H2 se harán 3000 y se esperan complementar con los dedicados a cada programa</t>
  </si>
  <si>
    <t>33x23</t>
  </si>
  <si>
    <t>Control de versiones</t>
  </si>
  <si>
    <t>v2 (2026-08-13)</t>
  </si>
  <si>
    <t>03_OT_Maestra: "Estado OT" se reubica junto a "Fecha cierre"; se elimina "Versión diseño". Se actualizaron OTMaestraTable, 04_OT_Print001 y 06_Dashboard. Base preparada para automatización (Power Automate).</t>
  </si>
  <si>
    <t>Completa arte, aprobación del cliente y proveedor de planchas</t>
  </si>
  <si>
    <t xml:space="preserve">Se entregan las tarjetas sin los bolsillos, pues todavia no se aprueba el servicio externo de troquelado. Esta espera en aprobación en Dir. Administrativa atrasa la entrega y cierre de la OT para las tarjetas. </t>
  </si>
  <si>
    <t>48x33</t>
  </si>
  <si>
    <t>Se inicia con el corte de las formatos a imprimir en policromia a partir del 18 de Agosto. A pesar que el pedido es para el 10 de Septiembre, se está agilizando de tal manera que se pueda entregar el proyecto el 19 del mes de Agosto.</t>
  </si>
  <si>
    <t>Vicerrectoria - Biblioteca</t>
  </si>
  <si>
    <t>Rectoria - Comunicaciones y Mercadeo</t>
  </si>
  <si>
    <t>Se inicia con el corte de las formatos a imprimir en policromia a partir del 18 de Agosto. En paralelo se esta trabajando en la entrega lo antes posible, 22 20 o 21 de Agosto de los servicios de bienestar, 1 mes y 1o dias antes del dia requerido por la cliente interno.Se identificaron detalles en el diseño por mejorar, en cuanto al color, alieanción de textos, etc</t>
  </si>
  <si>
    <t>Vicerrectoria - Direccion de bienestar universitario</t>
  </si>
  <si>
    <t>Se entregaron parcialmente  el dia 19 de Agosto 370 unidades. El  dia 21 dia de cierre de la orden se entregaron las unidades pendientes para alcanzar un total de 2000.  Se deja la notificación de requerir compra, pues se usó material que tenia otra finalidad. Se debe enviar a compra con cargo a Bienestar. Total invertidas 2 resmas de Propalcote 200</t>
  </si>
  <si>
    <t>Se entregan los 2000 ejemplares requeridos por Bienestar universitario. Se le comenta a Comunicaciones algunos detalles para mejorar en cuestión del diseño que permitan un corte sin comprometer el tamaño y diseño de la pieza. Se deja la notificación de requerir compra, pues se usó material que tenia otra finalidad. Se debe enviar a compra con cargo a Bienestar. Total invertido 1 resma de Propalcote200</t>
  </si>
  <si>
    <t xml:space="preserve">Rectoria </t>
  </si>
  <si>
    <t>Lidia Cala</t>
  </si>
  <si>
    <t>Secretaria</t>
  </si>
  <si>
    <t>rectoriaunimetro@unimetro.edu.co</t>
  </si>
  <si>
    <t>Miniblocks - pieza uso interno unimetro</t>
  </si>
  <si>
    <t>Se requieren 1000 unidades de miniblocks.Se utizará material del inventario de la Imprenta UM que se replazará con material del pedido#016</t>
  </si>
  <si>
    <t>42x28</t>
  </si>
  <si>
    <t>Se utilizará el mismo diseño con que se realizaron los primeros miniblocks que se entregaron iniciando esta administración en OT-UM-202605-001. Se realizarán en propalcote 300, un material mas delgado que el previamente usado para las portadas</t>
  </si>
  <si>
    <t>Separadores de libros sobre salud mental</t>
  </si>
  <si>
    <t>Separadores de libros</t>
  </si>
  <si>
    <t>Estos separadores se entregarán el dia 10 de septiembre en actividad masiva sobre prevención del suicidio.</t>
  </si>
  <si>
    <t>Propalcote200</t>
  </si>
  <si>
    <t>Propalcote300</t>
  </si>
  <si>
    <t>Propalcote320</t>
  </si>
  <si>
    <t xml:space="preserve"> Se entregan en Rectoria el dia 28 de Agosto. </t>
  </si>
  <si>
    <t>Se debio repetir el planchas pues hubno un error en las primeras planchas desde el diseño,se ajusto el color azul y negro. Se emplean 120 pliegos, casi la resma completa de propalcote 200. . Se refila y corta según tamaño estandar Se aprovecha la empresión anterior que tiene azul y negro (hojas de agendas) para darle continuidad e a la impresión de los volantes</t>
  </si>
  <si>
    <t>Rectoria - Alta consejeria</t>
  </si>
  <si>
    <t>Entrega Parcial 50 Memos al Dpto de Comunicaciones y Diseño para evento. Se tiene un mes de retraso de entrega por causa de la falla de la plastificadora. Pedido se envió el 6 de Julio. La portada se termina de imprimir el 12 de Agosto y  se debe plastificar. El técnico debe intervenir la máquina una vez se libere el anticipo para la compra de los repuestos. Al dia 14 de Ago en espera de Aprobación y liberación de recurso. Se termina la intervención de la máquina plastificadora el 1ero de Septiembre. El 2 de Sep se termina de platificar las 300+ portadas. En espera para ensamble 1 a 1.</t>
  </si>
  <si>
    <t>Se recomienda al Dpto de Com y Mercadeo el ajuste del diseño tal que aparezca completa la regla. Se dejan los vertices cuadrados de la regla/separador. Llegada de planchas el 2 de Sept. En espera de finalizacion Mto de Shonohara y limpieza para inicio de impresion el 4 de sept y plastificación el 7. Entrega esperada el 9 de Sep.</t>
  </si>
  <si>
    <t>Se plastificaron los separadores con plástico mate , tal cual era la muestra proporcionada por comunicaciones. Se cortan en angulo recto en guillotina de la Imprenta</t>
  </si>
  <si>
    <t>Se entregan los separadores a Katty de las Aguas ocn el conocimiento y OK de Rectoria.</t>
  </si>
  <si>
    <t>Los bolsillos impresos deben proseguir a un trabajo externo de troquelado y grafado que permitan en corte y doblado de los bolsillos. Posteriormente se le entregarán a la biblioteca para que con apoyo del personal se puedan hacer los pegues correspondientes de los bolsillos. Para la entrega de Bolsillos se requiere un pedido de trabajo externo de torquelado y pegado. Este servicio se pide el 3 de agosto. Solo se aprueba a comienzos de Septiembre y el proveedor entrega el bolsillo el 9 de Septiembre</t>
  </si>
  <si>
    <t>No se cumple el SLA -Service level Agreement o con el dia de entrega por la demora en aprobación del sevicio externo. Sin embargo se recibe a satisfacci´pn por parte de Biblioteca</t>
  </si>
  <si>
    <t>Secretaria Rectoria</t>
  </si>
  <si>
    <t>3er Lote se entregará el 30 de Oct</t>
  </si>
  <si>
    <t>4to Lote de 500 agendas. Este lote como el 3ero requiere nuevo diseño de portadas e insertos</t>
  </si>
  <si>
    <t>Rectoria</t>
  </si>
  <si>
    <t>Se diseñan en policromia en el tiro y el retiro en 2 tintas con la información pertinente a cada disciplina</t>
  </si>
  <si>
    <t>Se imprime inicialmente el retiro de los programas en dia 10 de Septiembre. Se encuentra un error de impresión en plancha por faltante del ejemplar Yellow. Se comunica con el proveedor para subsanar el inconveniente</t>
  </si>
  <si>
    <t>Requiere compra de Material completo. Se  hace el pedido para que lo compra llegue a inicios de Oct</t>
  </si>
  <si>
    <t>Se imprime inicialmente el retiro de los programas en dia 10 de Septiembre. Se termina impresión Lunes 14 de Septiembre. Sin embargo se nota que el azul del tiro no es trama, es via punto de color, lo que deja el color palido. Se decide pasar de nuevo por la impresora agregando barniz con color C y M para destacar más el color</t>
  </si>
  <si>
    <t xml:space="preserve">Volantes de programas académicos Pregado- Medicina - Nutrición y Dietética </t>
  </si>
  <si>
    <t>Volante progamas Pregrado - Bacteriología-Enfermeria-Fisioterapia- Trabajo Social</t>
  </si>
  <si>
    <t>Volante programas pregrado - Odontología - Optometría - Psicología - Terapia Ocupacional</t>
  </si>
  <si>
    <t>Tarjetas de presentación</t>
  </si>
  <si>
    <t>Las tarjetas de presentación se fabricarán en propalcote 300 y plastificadas en mate. La imprenta no cuenta con equipos para crear texturas, repujado o relieve en las tarjetas.</t>
  </si>
  <si>
    <t xml:space="preserve">Tarjetas de presentación </t>
  </si>
  <si>
    <t>Agendas- 4to lote de 500 agendas para 30 Nov</t>
  </si>
  <si>
    <t>Agendas- 3er lote de 500 agendas para 30 Oct</t>
  </si>
  <si>
    <t>Agendas  - 2ndo lote de 500 unidades para 30Sep</t>
  </si>
  <si>
    <t xml:space="preserve">Se ensamblan 50 agendas con extra de papel del primer lote, pero portadas del 2ndo lote.  En entregan 50 a Rectoria el 3 de Agosto.Se inicia el corte de las resmas el 13 de Agosto. Se inicia la impresión el 21 de Agosto. Se finaliza impresión 26 de Agosto. Inicio de corte de paginas agendas este mismo dia. En espera de reparacion de plastificadora para que se puedan ensamblar las tapas que estan con el proveedor . 28 de Agosto se entregan 40 para evento de Voluntariado en Medellin. Se entregan 56 a Rectoria el 15 y 16 de Septiembre. </t>
  </si>
  <si>
    <t>Se imprime inicialmente el retiro de los programas en dia 10 de Septiembre. Se termina impresión Lunes 14 de Septiembre. Sin embargo se nota que el azul del tiro no es trama, es via punto de color, lo que deja el color palido. Se decide pasar de nuevo por la impresora agregando barniz con color C y M para destacar más el color. Se entregan 50 unidades de cada disciplina a Rectoria. 17/09/26 Se prosigue con el corte definitivo de todos los volantes para entrega definitiva el 18/09/26</t>
  </si>
  <si>
    <t>Se Inició el proceso de impresión de las hojas para las 1000 libretas o miniblocks el dia 27 ago con el corte e inicio de impresion. Rectoria aprueba 50 unidades para entrega a Camilo Robledo para evento en Medellin. Se hace el ensamble el 29 de Agosto. Se entregan 100 el dia 9 de Septiembre a Rectoria. Se entregan a Rectoria 110 ejemplares el 4 de Sept. Pedido Vicerectoria de 220 unidades de un dia para otro, sin plastificar por falta de plastico.  Las 620 unidades restantes se harán con media plastificación en contraportada azul. Pedido pendiente por parte de compras del rollo de plástico.</t>
  </si>
  <si>
    <t>Se recomienda al dpto de comunicaciones mejorar el diseño para dejar el fondo en fondo completo o parche y no trama o pixelado pues el fondo no se ve vivo y con fuerza. Se intentó mejorar el producto aplicando barniz en una segunda pasada a todos los volantes, mejoró pero no como se ve en digital</t>
  </si>
  <si>
    <t>Se requieren 1000 unidades de miniblocks.Se utizará material del pedido #20.  Se entregarán 500 en Oct y 500 en Noviembre.</t>
  </si>
  <si>
    <t xml:space="preserve">Se realizaran 1000 unidades con el mismo diseño hasta ahora implementado. </t>
  </si>
  <si>
    <t>Las tarjetas de presentación se imprimen a 2 x tintas y plastificadas en mate. Las tarjetas deben diseñarse sin trma pues los  pixeles o puntos de impresión no permiten la nitidez y profundidad del color. Igualmente se debe incrementar el tamaño en el diseño para que en le proceso de refilada quede una tarjeta estandar de 9cm x 5cm</t>
  </si>
  <si>
    <t>Se entregan  las500 tarjetas  con un exceso. Se acepta el comentario de la secretaria de Vicerrectoria donde el diseño debe ser el estandar de una tarjeta de presentación.</t>
  </si>
  <si>
    <t>Direccion de idiomas</t>
  </si>
  <si>
    <t>Sara Elena Plata</t>
  </si>
  <si>
    <t>Directora Idiomas</t>
  </si>
  <si>
    <t>direccion.idiomas@unimetro.edu.co</t>
  </si>
  <si>
    <t>Volantes - Unidad Académica de Idiomas</t>
  </si>
  <si>
    <t>Se requieren 1000 unidades a 4 tintas en propalcote200</t>
  </si>
  <si>
    <t>Se empleará el diseño anterior</t>
  </si>
  <si>
    <t>Se diiseñan en el mismo formato de los volantes de pregrado. Planchas llegan el 1 de Oct. Sin 4 volantes por 1/4 de pliego.Salen 75 pliegos para 1200 volantes estimados.</t>
  </si>
  <si>
    <t>Se han producido 93 en total de este nuevo lote. 50 Se entregaron a Rectoria y 40 a voluntariado para evento en Medellin el 28 de Agosto. Ver Email de aprobación. !0 perdido recotira 23 Sep +  2 x unidades visita del Dr.130 emtregadas el 29 de Sep. Se termina de ensamblar las últimas 212 agendas para completar las 500 del mes de septiembre.Se Iban a entregar el 2 de  Octubre pero Rectoria decidió dejarlas en Imprenta por espacio. Se cierra la Orden el mismo dia de la entrega telefonica. En espera que las reciban en Rectoria</t>
  </si>
  <si>
    <t xml:space="preserve">Se han producido  50 Se entregaron a Rectoria y a voluntariado para evento en Medellin el 28 de Agosto. Ver Email de aprobación.220 unidades se entegaron en modo urgente a vicerrectoria para evento en Colegio Colón y otro colegio el 22 de Sept 2026. Se entregan 340 el 28 de Sep y 280 el 29 de Sept para completar 1000 unidades acordadas con Rectoria. Se dejan 152 unidades para cubrir el intervalo de tiempo mientras se inicia la nueva produccion para Oct y Nov. </t>
  </si>
  <si>
    <t>A (concepto)</t>
  </si>
  <si>
    <t>B (regla)</t>
  </si>
  <si>
    <t>Regla de unidades</t>
  </si>
  <si>
    <t>Entrega Parcial y Cantidad producida miden cosas distintas. Nunca se suman entre sí.</t>
  </si>
  <si>
    <t>Acumulado entregado a la fecha. Se sobrescribe en cada entrega con el nuevo acumulado (ej. 146 → 288 → 500). Nunca se digita solo lo de esa entrega.</t>
  </si>
  <si>
    <t>Total final de unidades terminadas. Se llena al cerrar la OT. No usar para avances parciales.</t>
  </si>
  <si>
    <t>Mientras la OT está abierta</t>
  </si>
  <si>
    <t>Solo se actualiza Entrega Parcial. El dashboard la toma como contador de unidades producidas.</t>
  </si>
  <si>
    <t>Al cerrar la OT</t>
  </si>
  <si>
    <t>Se digita Cantidad producida (valor final) y Fecha cierre. El parcial se deja como quedó. El KPI usa únicamente Cantidad producida.</t>
  </si>
  <si>
    <t>Producido ≠ entregado</t>
  </si>
  <si>
    <t>Si difieren (ej. 1.152 producidas, 1.000 entregadas), se deja así. La diferencia es inventario y debe quedar explicada en Observaciones cierre.</t>
  </si>
  <si>
    <r>
      <t>v2.1 (2026-10-05)</t>
    </r>
    <r>
      <rPr>
        <sz val="11"/>
        <rFont val="Carlito"/>
      </rPr>
      <t xml:space="preserve"> </t>
    </r>
  </si>
  <si>
    <t>03_OT_Maestra: se define la regla de unidades Entrega Parcial (acumulado entregado, se sobrescribe) vs. Cantidad producida (total final al cierre). El dashboard usa el parcial como contador en OTs abiertas y Cantidad producida en OTs cerradas. Sin cambios de columnas ni fórmulas.</t>
  </si>
  <si>
    <t>Mini Agendas</t>
  </si>
  <si>
    <t>Mini Agendas o Libretas</t>
  </si>
  <si>
    <t>Se hicieron las correciones en color. Ya no es trama, ahora se diseño con parche o fondo entero, y los detalles se realizan con el color negro. Se imprimen alrededor de 1000 unidades.</t>
  </si>
  <si>
    <t>Integridad</t>
  </si>
  <si>
    <t>Se entregan a comunicaciones y marketing.Firma la planilla de entrega a satisfacción. Firma Camilo Robledo. Coordinador</t>
  </si>
  <si>
    <t>Integridad Estado OT ↔ Fecha cierre</t>
  </si>
  <si>
    <t>Fecha cierre y Estado OT = Cerrada van siempre juntos. Primero se selecciona el Estado OT y luego se digita la fecha (Excel no deja digitar Fecha cierre si el estado no es Cerrada). La columna Integridad (AK) marca en rojo "⚠ Cerrada incompleta" (Cerrada sin Fecha entrega, Recibido por o Fecha cierre) o "⚠ Fecha cierre con estado abierto". Solo "OK" se considera válida; el dashboard muestra una alerta por cada inconsistencia.</t>
  </si>
  <si>
    <t>v2.2 (2026-10-07)</t>
  </si>
  <si>
    <t>03_OT_Maestra: se agrega la columna AK "Integridad" (Estado OT vs. Fecha cierre) con formato condicional rojo/verde; Observaciones cierre pasa de AK a AL. Validación personalizada en Fecha cierre (AG): solo se digita si Estado OT = Cerrada. Regla documentada en 00_Instrucciones fila 20.</t>
  </si>
  <si>
    <t>60 mini agendas color rosa con un diseño simple.</t>
  </si>
  <si>
    <t>El diseño inicialmente fue pedido simple sin logo. Sin embargo desde la Imprenta se propuso que se hiciera un diseño simple con el mesaje que Bienestar propuciera. Es asi como se envio a fabricar la planca el 7 de Oct.El 8 de Oct ya tenemos la impresión y plastificación. Se debe entregar maximo el dia 14. 5 dias antes del evento</t>
  </si>
  <si>
    <t>Las planchas llegaron en magenta y cian, Se preparò el color rosado para seguir el estadar pedido por Bienestar. Tamaño de portada  y contraportada  20 x 13</t>
  </si>
  <si>
    <t xml:space="preserve">Se cuenta con 7.5 resmas de Bond75g y propalcore. Pero requiere compra de carton para portadas. </t>
  </si>
  <si>
    <t>Se enviaron los diseños de las planchas al proveedor el dia 5 de Oct. Deben llegar esta semana para inicio de impresión mas tardar el 15 de Oct. 300 pliegos se disponen para cortar para 1500 portadas de agendas. 500 extra pues el lote 1 y 2 se produjeron justo las 1000 y quedamos cortos con el exceso. Inclusive quedaron 200 bloques de hojas internas sin armar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</si>
</sst>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12">
    <font>
      <sz val="11"/>
      <name val="Carlito"/>
    </font>
    <font>
      <sz val="11"/>
      <color theme="1"/>
      <name val="Calibri"/>
      <family val="2"/>
      <scheme val="minor"/>
    </font>
    <font>
      <sz val="11"/>
      <color theme="1"/>
      <name val="Calibri"/>
      <family val="2"/>
      <scheme val="minor"/>
    </font>
    <font>
      <b/>
      <sz val="16"/>
      <color rgb="FFFFFFFF"/>
      <name val="Carlito"/>
    </font>
    <font>
      <b/>
      <sz val="11"/>
      <color rgb="FFFFFFFF"/>
      <name val="Carlito"/>
    </font>
    <font>
      <b/>
      <sz val="14"/>
      <color rgb="FFFFFFFF"/>
      <name val="Carlito"/>
    </font>
    <font>
      <b/>
      <sz val="11"/>
      <color rgb="FF0B3A53"/>
      <name val="Carlito"/>
    </font>
    <font>
      <b/>
      <sz val="11"/>
      <name val="Carlito"/>
    </font>
    <font>
      <sz val="11"/>
      <color theme="1"/>
      <name val="Carlito"/>
    </font>
    <font>
      <u/>
      <sz val="11"/>
      <color theme="10"/>
      <name val="Carlito"/>
    </font>
    <font>
      <sz val="8"/>
      <name val="Carlito"/>
    </font>
    <font>
      <sz val="11"/>
      <color rgb="FF000000"/>
      <name val="Calibri"/>
      <family val="2"/>
    </font>
  </fonts>
  <fills count="7">
    <fill>
      <patternFill patternType="none"/>
    </fill>
    <fill>
      <patternFill patternType="gray125"/>
    </fill>
    <fill>
      <patternFill patternType="solid">
        <fgColor rgb="FF0B3A53"/>
      </patternFill>
    </fill>
    <fill>
      <patternFill patternType="solid">
        <fgColor rgb="FFE2F0D9"/>
      </patternFill>
    </fill>
    <fill>
      <patternFill patternType="solid">
        <fgColor rgb="FFFFF2CC"/>
      </patternFill>
    </fill>
    <fill>
      <patternFill patternType="solid">
        <fgColor rgb="FFD9EAF7"/>
      </patternFill>
    </fill>
    <fill>
      <patternFill patternType="solid">
        <fgColor rgb="FFDDEBF7"/>
        <bgColor rgb="FFDDEBF7"/>
      </patternFill>
    </fill>
  </fills>
  <borders count="3">
    <border>
      <left/>
      <right/>
      <top/>
      <bottom/>
      <diagonal/>
    </border>
    <border>
      <left/>
      <right/>
      <top/>
      <bottom/>
      <diagonal/>
    </border>
    <border>
      <left/>
      <right/>
      <top style="thin">
        <color theme="4" tint="0.39997558519241921"/>
      </top>
      <bottom style="thin">
        <color theme="4" tint="0.39997558519241921"/>
      </bottom>
      <diagonal/>
    </border>
  </borders>
  <cellStyleXfs count="4">
    <xf numFmtId="0" fontId="0" fillId="0" borderId="0"/>
    <xf numFmtId="0" fontId="9" fillId="0" borderId="0" applyNumberFormat="0" applyFill="0" applyBorder="0" applyAlignment="0" applyProtection="0"/>
    <xf numFmtId="0" fontId="2" fillId="0" borderId="1"/>
    <xf numFmtId="0" fontId="1" fillId="0" borderId="1"/>
  </cellStyleXfs>
  <cellXfs count="64">
    <xf numFmtId="0" fontId="0" fillId="0" borderId="0" xfId="0"/>
    <xf numFmtId="0" fontId="4" fillId="2" borderId="0" xfId="0" applyFont="1" applyFill="1" applyAlignment="1">
      <alignment horizontal="center" vertical="center" wrapText="1"/>
    </xf>
    <xf numFmtId="0" fontId="0" fillId="0" borderId="0" xfId="0" applyAlignment="1">
      <alignment wrapText="1"/>
    </xf>
    <xf numFmtId="164" fontId="4" fillId="2" borderId="0" xfId="0" applyNumberFormat="1" applyFont="1" applyFill="1" applyAlignment="1">
      <alignment horizontal="center" vertical="center" wrapText="1"/>
    </xf>
    <xf numFmtId="165" fontId="4" fillId="2" borderId="0" xfId="0" applyNumberFormat="1" applyFont="1" applyFill="1" applyAlignment="1">
      <alignment horizontal="center" vertical="center" wrapText="1"/>
    </xf>
    <xf numFmtId="1" fontId="4" fillId="2" borderId="0" xfId="0" applyNumberFormat="1" applyFont="1" applyFill="1" applyAlignment="1">
      <alignment horizontal="center" vertical="center" wrapText="1"/>
    </xf>
    <xf numFmtId="0" fontId="0" fillId="4" borderId="0" xfId="0" applyFill="1"/>
    <xf numFmtId="0" fontId="0" fillId="3" borderId="0" xfId="0" applyFill="1" applyAlignment="1">
      <alignment wrapText="1"/>
    </xf>
    <xf numFmtId="0" fontId="7" fillId="0" borderId="0" xfId="0" applyFont="1" applyAlignment="1">
      <alignmen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0" fontId="4" fillId="2" borderId="2" xfId="0" applyFont="1" applyFill="1" applyBorder="1" applyAlignment="1">
      <alignment horizontal="center" vertical="center" wrapText="1"/>
    </xf>
    <xf numFmtId="14" fontId="0" fillId="0" borderId="0" xfId="0" applyNumberFormat="1"/>
    <xf numFmtId="14" fontId="0" fillId="0" borderId="0" xfId="0" applyNumberFormat="1" applyAlignment="1">
      <alignment horizontal="center"/>
    </xf>
    <xf numFmtId="14" fontId="4" fillId="2" borderId="0" xfId="0" applyNumberFormat="1" applyFont="1" applyFill="1" applyAlignment="1">
      <alignment horizontal="center" vertical="center" wrapText="1"/>
    </xf>
    <xf numFmtId="0" fontId="9" fillId="0" borderId="0" xfId="1"/>
    <xf numFmtId="0" fontId="0" fillId="3" borderId="0" xfId="0" applyFill="1" applyAlignment="1">
      <alignment horizontal="left" wrapText="1"/>
    </xf>
    <xf numFmtId="14" fontId="0" fillId="3" borderId="0" xfId="0" applyNumberFormat="1" applyFill="1" applyAlignment="1">
      <alignment horizontal="left" wrapText="1"/>
    </xf>
    <xf numFmtId="0" fontId="0" fillId="4" borderId="0" xfId="0" applyFill="1" applyAlignment="1">
      <alignment vertical="center" wrapText="1"/>
    </xf>
    <xf numFmtId="0" fontId="2" fillId="0" borderId="1" xfId="2"/>
    <xf numFmtId="0" fontId="9" fillId="0" borderId="1" xfId="1" applyBorder="1"/>
    <xf numFmtId="0" fontId="1" fillId="0" borderId="1" xfId="3"/>
    <xf numFmtId="0" fontId="0" fillId="3" borderId="0" xfId="0" applyFill="1" applyAlignment="1">
      <alignment vertical="center" wrapText="1"/>
    </xf>
    <xf numFmtId="165"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1" fontId="0" fillId="0" borderId="0" xfId="0" applyNumberFormat="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wrapText="1"/>
    </xf>
    <xf numFmtId="0" fontId="8" fillId="3" borderId="2" xfId="0" applyFont="1" applyFill="1" applyBorder="1" applyAlignment="1">
      <alignment horizontal="center" vertical="center" wrapText="1"/>
    </xf>
    <xf numFmtId="14" fontId="0" fillId="3" borderId="0" xfId="0" applyNumberFormat="1" applyFill="1" applyAlignment="1">
      <alignment vertical="center" wrapText="1"/>
    </xf>
    <xf numFmtId="0" fontId="0" fillId="4" borderId="0" xfId="0" applyFill="1" applyAlignment="1">
      <alignment horizontal="center" vertical="center" wrapText="1"/>
    </xf>
    <xf numFmtId="14" fontId="0" fillId="4" borderId="0" xfId="0" applyNumberFormat="1" applyFill="1" applyAlignment="1">
      <alignment vertical="center" wrapText="1"/>
    </xf>
    <xf numFmtId="165" fontId="0" fillId="0" borderId="0" xfId="0" applyNumberFormat="1" applyAlignment="1">
      <alignment horizontal="center" vertical="center" wrapText="1"/>
    </xf>
    <xf numFmtId="0" fontId="0" fillId="0" borderId="0" xfId="0" applyAlignment="1">
      <alignment horizontal="left" vertical="center" wrapText="1"/>
    </xf>
    <xf numFmtId="0" fontId="11" fillId="0" borderId="1" xfId="0" applyFont="1" applyBorder="1"/>
    <xf numFmtId="14" fontId="0" fillId="0" borderId="0" xfId="0" applyNumberFormat="1" applyAlignment="1">
      <alignment vertical="center" wrapText="1"/>
    </xf>
    <xf numFmtId="14" fontId="0" fillId="4" borderId="0" xfId="0" applyNumberFormat="1" applyFill="1" applyAlignment="1">
      <alignment horizontal="center" vertical="center" wrapText="1"/>
    </xf>
    <xf numFmtId="0" fontId="11" fillId="0" borderId="1" xfId="0" applyFont="1" applyBorder="1" applyAlignment="1">
      <alignment horizontal="center"/>
    </xf>
    <xf numFmtId="0" fontId="0" fillId="4" borderId="0" xfId="0" applyFill="1" applyAlignment="1">
      <alignment horizontal="left" vertical="center" wrapText="1"/>
    </xf>
    <xf numFmtId="0" fontId="9" fillId="6" borderId="1" xfId="1" applyFill="1" applyBorder="1"/>
    <xf numFmtId="0" fontId="0" fillId="0" borderId="1" xfId="0" applyBorder="1" applyAlignment="1">
      <alignment horizontal="center" vertical="center"/>
    </xf>
    <xf numFmtId="0" fontId="7" fillId="0" borderId="0" xfId="0" applyFont="1"/>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xf>
    <xf numFmtId="0" fontId="3" fillId="2" borderId="0" xfId="0" applyFont="1" applyFill="1" applyAlignment="1">
      <alignment horizontal="center" wrapText="1"/>
    </xf>
    <xf numFmtId="0" fontId="0" fillId="0" borderId="0" xfId="0" applyAlignment="1">
      <alignment wrapText="1"/>
    </xf>
    <xf numFmtId="0" fontId="4" fillId="2" borderId="0" xfId="0" applyFont="1" applyFill="1" applyAlignment="1">
      <alignment horizontal="center" vertical="center" wrapText="1"/>
    </xf>
    <xf numFmtId="0" fontId="0" fillId="0" borderId="0" xfId="0"/>
    <xf numFmtId="0" fontId="5" fillId="2" borderId="1" xfId="0" applyFont="1" applyFill="1" applyBorder="1" applyAlignment="1">
      <alignment horizontal="center" vertical="center" wrapText="1"/>
    </xf>
    <xf numFmtId="165" fontId="0" fillId="0" borderId="0" xfId="0" applyNumberFormat="1"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3" borderId="0" xfId="0" applyFill="1" applyAlignment="1">
      <alignment wrapText="1"/>
    </xf>
    <xf numFmtId="14" fontId="0" fillId="3" borderId="0" xfId="0" applyNumberFormat="1" applyFill="1" applyAlignment="1">
      <alignment horizontal="left" wrapText="1"/>
    </xf>
    <xf numFmtId="0" fontId="0" fillId="3" borderId="0" xfId="0" applyFill="1" applyAlignment="1">
      <alignment horizontal="left" wrapText="1"/>
    </xf>
    <xf numFmtId="0" fontId="6" fillId="5" borderId="0" xfId="0" applyFont="1" applyFill="1" applyAlignment="1">
      <alignment horizontal="center" vertical="center" wrapText="1"/>
    </xf>
    <xf numFmtId="0" fontId="6" fillId="3" borderId="0" xfId="0" applyFont="1" applyFill="1" applyAlignment="1">
      <alignment horizontal="center" vertical="center" wrapText="1"/>
    </xf>
  </cellXfs>
  <cellStyles count="4">
    <cellStyle name="Hyperlink" xfId="1" builtinId="8"/>
    <cellStyle name="Normal" xfId="0" builtinId="0"/>
    <cellStyle name="Normal 2" xfId="2" xr:uid="{BC5FA69C-4143-47CA-AA1C-8E3C508A1CF9}"/>
    <cellStyle name="Normal 3" xfId="3" xr:uid="{B6EE6DEA-7F8E-44C3-A34A-EF62504BC946}"/>
  </cellStyles>
  <dxfs count="64">
    <dxf>
      <fill>
        <patternFill>
          <bgColor rgb="FFD9EAD3"/>
        </patternFill>
      </fill>
    </dxf>
    <dxf>
      <font>
        <b/>
      </font>
      <fill>
        <patternFill>
          <bgColor rgb="FFF4CCCC"/>
        </patternFill>
      </fill>
    </dxf>
    <dxf>
      <font>
        <b/>
      </font>
      <fill>
        <patternFill>
          <bgColor rgb="FFF4CCCC"/>
        </patternFill>
      </fill>
    </dxf>
    <dxf>
      <fill>
        <patternFill>
          <bgColor rgb="FFD9EAD3"/>
        </patternFill>
      </fill>
    </dxf>
    <dxf>
      <fill>
        <patternFill>
          <bgColor rgb="FFFCE4D6"/>
        </patternFill>
      </fill>
    </dxf>
    <dxf>
      <fill>
        <patternFill>
          <bgColor rgb="FFFCE4D6"/>
        </patternFill>
      </fill>
    </dxf>
    <dxf>
      <font>
        <b/>
      </font>
      <fill>
        <patternFill>
          <bgColor rgb="FFF4CCCC"/>
        </patternFill>
      </fill>
    </dxf>
    <dxf>
      <fill>
        <patternFill>
          <bgColor rgb="FFFCE4D6"/>
        </patternFill>
      </fill>
    </dxf>
    <dxf>
      <alignment vertical="center" textRotation="0" indent="0" justifyLastLine="0" shrinkToFit="0" readingOrder="0"/>
    </dxf>
    <dxf>
      <numFmt numFmtId="0" formatCode="General"/>
      <fill>
        <patternFill patternType="solid">
          <fgColor indexed="64"/>
          <bgColor rgb="FFE2F0D9"/>
        </patternFill>
      </fill>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numFmt numFmtId="0" formatCode="General"/>
      <alignment horizontal="center"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horizontal="center" vertical="center" textRotation="0" wrapText="1" indent="0" justifyLastLine="0" shrinkToFit="0" readingOrder="0"/>
    </dxf>
    <dxf>
      <alignment vertical="center" textRotation="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numFmt numFmtId="19" formatCode="d/mm/yyyy"/>
      <alignment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dxf>
    <dxf>
      <font>
        <color theme="1"/>
      </font>
      <fill>
        <patternFill patternType="solid">
          <fgColor indexed="64"/>
          <bgColor rgb="FFE2F0D9"/>
        </patternFill>
      </fill>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9" formatCode="d/mm/yyyy"/>
    </dxf>
    <dxf>
      <numFmt numFmtId="19" formatCode="d/mm/yyyy"/>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s-CO"/>
              <a:t>OT por estado</a:t>
            </a:r>
          </a:p>
        </c:rich>
      </c:tx>
      <c:overlay val="0"/>
    </c:title>
    <c:autoTitleDeleted val="0"/>
    <c:plotArea>
      <c:layout/>
      <c:barChart>
        <c:barDir val="col"/>
        <c:grouping val="clustered"/>
        <c:varyColors val="0"/>
        <c:ser>
          <c:idx val="0"/>
          <c:order val="0"/>
          <c:tx>
            <c:v>Cantidad</c:v>
          </c:tx>
          <c:invertIfNegative val="1"/>
          <c:cat>
            <c:strRef>
              <c:f>'06_Dashboard'!$D$4:$D$11</c:f>
              <c:strCache>
                <c:ptCount val="8"/>
                <c:pt idx="0">
                  <c:v>Abierta</c:v>
                </c:pt>
                <c:pt idx="1">
                  <c:v>Diseño</c:v>
                </c:pt>
                <c:pt idx="2">
                  <c:v>Preprensa</c:v>
                </c:pt>
                <c:pt idx="3">
                  <c:v>Producción</c:v>
                </c:pt>
                <c:pt idx="4">
                  <c:v>Calidad</c:v>
                </c:pt>
                <c:pt idx="5">
                  <c:v>Cerrada</c:v>
                </c:pt>
                <c:pt idx="6">
                  <c:v>En espera Compras</c:v>
                </c:pt>
                <c:pt idx="7">
                  <c:v>Compras Planchas</c:v>
                </c:pt>
              </c:strCache>
            </c:strRef>
          </c:cat>
          <c:val>
            <c:numRef>
              <c:f>'06_Dashboard'!$E$4:$E$11</c:f>
              <c:numCache>
                <c:formatCode>General</c:formatCode>
                <c:ptCount val="8"/>
                <c:pt idx="0">
                  <c:v>1</c:v>
                </c:pt>
                <c:pt idx="1">
                  <c:v>3</c:v>
                </c:pt>
                <c:pt idx="2">
                  <c:v>2</c:v>
                </c:pt>
                <c:pt idx="3">
                  <c:v>2</c:v>
                </c:pt>
                <c:pt idx="4">
                  <c:v>0</c:v>
                </c:pt>
                <c:pt idx="5">
                  <c:v>20</c:v>
                </c:pt>
                <c:pt idx="6">
                  <c:v>0</c:v>
                </c:pt>
                <c:pt idx="7">
                  <c:v>0</c:v>
                </c:pt>
              </c:numCache>
            </c:numRef>
          </c:val>
          <c:extLst>
            <c:ext xmlns:c16="http://schemas.microsoft.com/office/drawing/2014/chart" uri="{C3380CC4-5D6E-409C-BE32-E72D297353CC}">
              <c16:uniqueId val="{00000000-91F4-43C3-9EE7-F1F169BE5A3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13</xdr:col>
      <xdr:colOff>0</xdr:colOff>
      <xdr:row>18</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sRawTable" displayName="FormsRawTable" ref="A1:M200">
  <tableColumns count="13">
    <tableColumn id="1" xr3:uid="{00000000-0010-0000-0000-000001000000}" name="Id" dataDxfId="63"/>
    <tableColumn id="2" xr3:uid="{00000000-0010-0000-0000-000002000000}" name="Start time" dataDxfId="62"/>
    <tableColumn id="3" xr3:uid="{00000000-0010-0000-0000-000003000000}" name="Completion time" dataDxfId="61"/>
    <tableColumn id="4" xr3:uid="{00000000-0010-0000-0000-000004000000}" name="Dependencia / Área solicitante"/>
    <tableColumn id="5" xr3:uid="{00000000-0010-0000-0000-000005000000}" name="Nombre del solicitante"/>
    <tableColumn id="6" xr3:uid="{00000000-0010-0000-0000-000006000000}" name="Cargo"/>
    <tableColumn id="7" xr3:uid="{00000000-0010-0000-0000-000007000000}" name="Correo institucional"/>
    <tableColumn id="8" xr3:uid="{00000000-0010-0000-0000-000009000000}" name="Fecha de solicitud" dataDxfId="60"/>
    <tableColumn id="9" xr3:uid="{00000000-0010-0000-0000-00000A000000}" name="Nombre del trabajo solicitado"/>
    <tableColumn id="10" xr3:uid="{00000000-0010-0000-0000-00000B000000}" name="Tipo de pieza gráfica"/>
    <tableColumn id="11" xr3:uid="{00000000-0010-0000-0000-00000C000000}" name="Cantidad requerida" dataDxfId="59"/>
    <tableColumn id="12" xr3:uid="{00000000-0010-0000-0000-00000D000000}" name="Fecha requerida de entrega" dataDxfId="58"/>
    <tableColumn id="13" xr3:uid="{00000000-0010-0000-0000-00000E000000}" name="Comentarios adicion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BaseSolicitudesTable" displayName="BaseSolicitudesTable" ref="A1:T201">
  <tableColumns count="20">
    <tableColumn id="1" xr3:uid="{00000000-0010-0000-0100-000001000000}" name="Id Forms"/>
    <tableColumn id="2" xr3:uid="{00000000-0010-0000-0100-000002000000}" name="Fecha recepción" dataDxfId="57"/>
    <tableColumn id="3" xr3:uid="{00000000-0010-0000-0100-000003000000}" name="Fecha solicitud" dataDxfId="56"/>
    <tableColumn id="4" xr3:uid="{00000000-0010-0000-0100-000004000000}" name="Dependencia"/>
    <tableColumn id="5" xr3:uid="{00000000-0010-0000-0100-000005000000}" name="Solicitante"/>
    <tableColumn id="6" xr3:uid="{00000000-0010-0000-0100-000006000000}" name="Cargo"/>
    <tableColumn id="7" xr3:uid="{00000000-0010-0000-0100-000007000000}" name="Correo"/>
    <tableColumn id="8" xr3:uid="{00000000-0010-0000-0100-000009000000}" name="Nombre trabajo"/>
    <tableColumn id="9" xr3:uid="{00000000-0010-0000-0100-00000A000000}" name="Tipo trabajo" dataDxfId="55"/>
    <tableColumn id="10" xr3:uid="{00000000-0010-0000-0100-00000B000000}" name="Cantidad"/>
    <tableColumn id="11" xr3:uid="{00000000-0010-0000-0100-00000C000000}" name="Fecha requerida"/>
    <tableColumn id="12" xr3:uid="{00000000-0010-0000-0100-00000D000000}" name="Comentarios solicitud"/>
    <tableColumn id="13" xr3:uid="{00000000-0010-0000-0100-00000E000000}" name="Prioridad" dataDxfId="54"/>
    <tableColumn id="14" xr3:uid="{00000000-0010-0000-0100-00000F000000}" name="Estado solicitud" dataDxfId="53"/>
    <tableColumn id="15" xr3:uid="{00000000-0010-0000-0100-000010000000}" name="Info completa" dataDxfId="52"/>
    <tableColumn id="16" xr3:uid="{00000000-0010-0000-0100-000011000000}" name="Días SLA" dataDxfId="51"/>
    <tableColumn id="17" xr3:uid="{00000000-0010-0000-0100-000012000000}" name="Alerta SLA"/>
    <tableColumn id="18" xr3:uid="{00000000-0010-0000-0100-000013000000}" name="Número OT"/>
    <tableColumn id="19" xr3:uid="{00000000-0010-0000-0100-000014000000}" name="Generar OT" dataDxfId="50"/>
    <tableColumn id="20" xr3:uid="{00000000-0010-0000-0100-000015000000}" name="Observaciones validación" dataDxfId="4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OTMaestraTable" displayName="OTMaestraTable" ref="A3:AL203" headerRowDxfId="48" dataDxfId="47" totalsRowDxfId="46">
  <tableColumns count="38">
    <tableColumn id="1" xr3:uid="{00000000-0010-0000-0200-000001000000}" name="Número OT" dataDxfId="45"/>
    <tableColumn id="2" xr3:uid="{00000000-0010-0000-0200-000002000000}" name="Id Forms" dataDxfId="44"/>
    <tableColumn id="3" xr3:uid="{00000000-0010-0000-0200-000003000000}" name="Fecha solicitud" dataDxfId="43"/>
    <tableColumn id="4" xr3:uid="{00000000-0010-0000-0200-000004000000}" name="Dependencia" dataDxfId="42"/>
    <tableColumn id="5" xr3:uid="{00000000-0010-0000-0200-000005000000}" name="Solicitante" dataDxfId="41"/>
    <tableColumn id="6" xr3:uid="{00000000-0010-0000-0200-000006000000}" name="Correo" dataDxfId="40"/>
    <tableColumn id="7" xr3:uid="{00000000-0010-0000-0200-000007000000}" name="Nombre trabajo" dataDxfId="39"/>
    <tableColumn id="8" xr3:uid="{1A4C501F-9D2B-4893-AA62-11B89CFD0F13}" name="Tipo trabajo" dataDxfId="38">
      <calculatedColumnFormula>IF('02_Base_Solicitudes'!A2="","",'02_Base_Solicitudes'!J2)</calculatedColumnFormula>
    </tableColumn>
    <tableColumn id="9" xr3:uid="{00000000-0010-0000-0200-000009000000}" name="Cantidad" dataDxfId="37"/>
    <tableColumn id="10" xr3:uid="{00000000-0010-0000-0200-00000A000000}" name="Prioridad" dataDxfId="36"/>
    <tableColumn id="11" xr3:uid="{00000000-0010-0000-0200-00000B000000}" name="Fecha requerida" dataDxfId="35"/>
    <tableColumn id="13" xr3:uid="{00000000-0010-0000-0200-00000D000000}" name="Responsable OT" dataDxfId="34"/>
    <tableColumn id="14" xr3:uid="{00000000-0010-0000-0200-00000E000000}" name="Diseñador" dataDxfId="33"/>
    <tableColumn id="17" xr3:uid="{00000000-0010-0000-0200-000011000000}" name="Cliente aprobó" dataDxfId="32"/>
    <tableColumn id="18" xr3:uid="{00000000-0010-0000-0200-000012000000}" name="Fecha aprobación diseño" dataDxfId="31"/>
    <tableColumn id="19" xr3:uid="{00000000-0010-0000-0200-000013000000}" name="Observaciones diseño" dataDxfId="30"/>
    <tableColumn id="20" xr3:uid="{00000000-0010-0000-0200-000014000000}" name="Planchas Listas" dataDxfId="29"/>
    <tableColumn id="23" xr3:uid="{00000000-0010-0000-0200-000017000000}" name="Preprensa: formato/tamaño (cm)" dataDxfId="28"/>
    <tableColumn id="24" xr3:uid="{00000000-0010-0000-0200-000018000000}" name="Preprensa: color/tintas" dataDxfId="27"/>
    <tableColumn id="25" xr3:uid="{00000000-0010-0000-0200-000019000000}" name="Preprensa: material" dataDxfId="26"/>
    <tableColumn id="26" xr3:uid="{00000000-0010-0000-0200-00001A000000}" name="Preprensa: acabado" dataDxfId="25"/>
    <tableColumn id="27" xr3:uid="{00000000-0010-0000-0200-00001B000000}" name="Preprensa: máquina sugerida" dataDxfId="24"/>
    <tableColumn id="29" xr3:uid="{00000000-0010-0000-0200-00001D000000}" name="¿Hay stock?" dataDxfId="23"/>
    <tableColumn id="30" xr3:uid="{00000000-0010-0000-0200-00001E000000}" name="Requiere compra" dataDxfId="22"/>
    <tableColumn id="32" xr3:uid="{00000000-0010-0000-0200-000020000000}" name="Fecha inicio producción" dataDxfId="21"/>
    <tableColumn id="33" xr3:uid="{00000000-0010-0000-0200-000021000000}" name="Fecha fin producción" dataDxfId="20"/>
    <tableColumn id="34" xr3:uid="{00000000-0010-0000-0200-000022000000}" name="Cantidad producida" dataDxfId="19"/>
    <tableColumn id="35" xr3:uid="{00000000-0010-0000-0200-000023000000}" name="Entrega Parcial" dataDxfId="18"/>
    <tableColumn id="36" xr3:uid="{00000000-0010-0000-0200-000024000000}" name="Control calidad" dataDxfId="17"/>
    <tableColumn id="37" xr3:uid="{00000000-0010-0000-0200-000025000000}" name="Observaciones calidad" dataDxfId="16"/>
    <tableColumn id="38" xr3:uid="{00000000-0010-0000-0200-000026000000}" name="Fecha entrega" dataDxfId="15"/>
    <tableColumn id="39" xr3:uid="{00000000-0010-0000-0200-000027000000}" name="Recibido por" dataDxfId="14">
      <calculatedColumnFormula>OTMaestraTable[[#This Row],[Solicitante]]</calculatedColumnFormula>
    </tableColumn>
    <tableColumn id="40" xr3:uid="{00000000-0010-0000-0200-000028000000}" name="Fecha cierre" dataDxfId="13"/>
    <tableColumn id="12" xr3:uid="{00000000-0010-0000-0200-00000C000000}" name="Estado OT" dataDxfId="12"/>
    <tableColumn id="41" xr3:uid="{00000000-0010-0000-0200-000029000000}" name="Tiempo ciclo días" dataDxfId="11"/>
    <tableColumn id="42" xr3:uid="{00000000-0010-0000-0200-00002A000000}" name="SLA cumplido" dataDxfId="10"/>
    <tableColumn id="15" xr3:uid="{2F171026-77F9-4908-9869-BC67087BCE51}" name="Integridad" dataDxfId="9">
      <calculatedColumnFormula>IF(A4="","",IF(AND($AH4="Cerrada",OR($AE4="",$AF4="",$AG4="")),"⚠ Cerrada incompleta",IF(AND($AH4&lt;&gt;"Cerrada",$AG4&lt;&gt;""),"⚠ Fecha cierre con estado abierto","OK")))</calculatedColumnFormula>
    </tableColumn>
    <tableColumn id="43" xr3:uid="{00000000-0010-0000-0200-00002B000000}" name="Observaciones cierre"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CatalogosTable" displayName="CatalogosTable" ref="A1:N16">
  <tableColumns count="14">
    <tableColumn id="1" xr3:uid="{00000000-0010-0000-0300-000001000000}" name="Dependencias"/>
    <tableColumn id="2" xr3:uid="{00000000-0010-0000-0300-000002000000}" name="Tipo Trabajo"/>
    <tableColumn id="3" xr3:uid="{00000000-0010-0000-0300-000003000000}" name="Prioridad"/>
    <tableColumn id="4" xr3:uid="{00000000-0010-0000-0300-000004000000}" name="Estado OT"/>
    <tableColumn id="5" xr3:uid="{00000000-0010-0000-0300-000005000000}" name="Responsable OT"/>
    <tableColumn id="6" xr3:uid="{00000000-0010-0000-0300-000006000000}" name="Diseñador"/>
    <tableColumn id="7" xr3:uid="{00000000-0010-0000-0300-000007000000}" name="Máquina"/>
    <tableColumn id="8" xr3:uid="{00000000-0010-0000-0300-000008000000}" name="Material"/>
    <tableColumn id="9" xr3:uid="{00000000-0010-0000-0300-000009000000}" name="Acabado"/>
    <tableColumn id="10" xr3:uid="{00000000-0010-0000-0300-00000A000000}" name="Color"/>
    <tableColumn id="11" xr3:uid="{00000000-0010-0000-0300-00000B000000}" name="Sí/No"/>
    <tableColumn id="12" xr3:uid="{00000000-0010-0000-0300-00000C000000}" name="Estado Solicitud"/>
    <tableColumn id="14" xr3:uid="{AE91E129-BB86-4115-A412-77225EB6E479}" name="Control calidad OK"/>
    <tableColumn id="13" xr3:uid="{00000000-0010-0000-0300-00000D000000}" name="Proveedor Plancha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vice-rectoria@unimetro.edu.co" TargetMode="External"/><Relationship Id="rId13" Type="http://schemas.openxmlformats.org/officeDocument/2006/relationships/table" Target="../tables/table1.xml"/><Relationship Id="rId3" Type="http://schemas.openxmlformats.org/officeDocument/2006/relationships/hyperlink" Target="mailto:coordinadordecontenidos@unimetro.edu.co" TargetMode="External"/><Relationship Id="rId7" Type="http://schemas.openxmlformats.org/officeDocument/2006/relationships/hyperlink" Target="mailto:rectoriaunimetro@unimetro.edu.co" TargetMode="External"/><Relationship Id="rId12" Type="http://schemas.openxmlformats.org/officeDocument/2006/relationships/hyperlink" Target="mailto:direccion.idiomas@unimetro.edu.co" TargetMode="External"/><Relationship Id="rId2" Type="http://schemas.openxmlformats.org/officeDocument/2006/relationships/hyperlink" Target="mailto:coordinadordecontenidos@unimetro.edu.co" TargetMode="External"/><Relationship Id="rId1" Type="http://schemas.openxmlformats.org/officeDocument/2006/relationships/hyperlink" Target="mailto:eortizg@unimetro.edu.co" TargetMode="External"/><Relationship Id="rId6" Type="http://schemas.openxmlformats.org/officeDocument/2006/relationships/hyperlink" Target="mailto:relacionespublicas@unimetro.edu.co" TargetMode="External"/><Relationship Id="rId11" Type="http://schemas.openxmlformats.org/officeDocument/2006/relationships/hyperlink" Target="mailto:rectoriaunimetro@unimetro.edu.co" TargetMode="External"/><Relationship Id="rId5" Type="http://schemas.openxmlformats.org/officeDocument/2006/relationships/hyperlink" Target="mailto:relacionespublicas@unimetro.edu.co" TargetMode="External"/><Relationship Id="rId10" Type="http://schemas.openxmlformats.org/officeDocument/2006/relationships/hyperlink" Target="mailto:rectoriaunimetro@unimetro.edu.co" TargetMode="External"/><Relationship Id="rId4" Type="http://schemas.openxmlformats.org/officeDocument/2006/relationships/hyperlink" Target="mailto:vice-rectoria@unimetro.edu.co" TargetMode="External"/><Relationship Id="rId9" Type="http://schemas.openxmlformats.org/officeDocument/2006/relationships/hyperlink" Target="mailto:vice-rectoria@unimetro.edu.co"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0"/>
  <sheetViews>
    <sheetView topLeftCell="A10" zoomScale="55" zoomScaleNormal="55" workbookViewId="0">
      <selection activeCell="B27" sqref="B27"/>
    </sheetView>
  </sheetViews>
  <sheetFormatPr defaultRowHeight="14"/>
  <cols>
    <col min="1" max="1" width="56.25" bestFit="1" customWidth="1"/>
    <col min="2" max="2" width="129" customWidth="1"/>
    <col min="3" max="3" width="60.83203125" customWidth="1"/>
    <col min="4" max="4" width="24.6640625" bestFit="1" customWidth="1"/>
    <col min="5" max="5" width="23.6640625" customWidth="1"/>
    <col min="6" max="6" width="28.6640625" customWidth="1"/>
  </cols>
  <sheetData>
    <row r="1" spans="1:52" ht="15">
      <c r="A1" s="49" t="s">
        <v>0</v>
      </c>
      <c r="B1" s="50"/>
      <c r="C1" s="50"/>
      <c r="D1" s="50"/>
      <c r="E1" s="50"/>
      <c r="F1" s="50"/>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t="s">
        <v>1</v>
      </c>
      <c r="B2" t="s">
        <v>2</v>
      </c>
    </row>
    <row r="3" spans="1:52">
      <c r="A3" s="1" t="s">
        <v>3</v>
      </c>
      <c r="B3" s="1" t="s">
        <v>4</v>
      </c>
      <c r="C3" s="1" t="s">
        <v>5</v>
      </c>
      <c r="D3" s="1" t="s">
        <v>6</v>
      </c>
      <c r="E3" s="1" t="s">
        <v>7</v>
      </c>
      <c r="F3" s="1" t="s">
        <v>8</v>
      </c>
    </row>
    <row r="4" spans="1:52">
      <c r="A4" s="25">
        <v>1</v>
      </c>
      <c r="B4" s="2" t="s">
        <v>9</v>
      </c>
      <c r="C4" s="2" t="s">
        <v>10</v>
      </c>
      <c r="D4" s="2" t="s">
        <v>11</v>
      </c>
      <c r="E4" s="2" t="s">
        <v>12</v>
      </c>
      <c r="F4" s="2" t="s">
        <v>13</v>
      </c>
    </row>
    <row r="5" spans="1:52" ht="28">
      <c r="A5" s="25">
        <v>2</v>
      </c>
      <c r="B5" s="2" t="s">
        <v>14</v>
      </c>
      <c r="C5" s="2" t="s">
        <v>15</v>
      </c>
      <c r="D5" s="2" t="s">
        <v>16</v>
      </c>
      <c r="E5" s="2" t="s">
        <v>17</v>
      </c>
      <c r="F5" s="2" t="s">
        <v>18</v>
      </c>
    </row>
    <row r="6" spans="1:52">
      <c r="A6" s="25">
        <v>3</v>
      </c>
      <c r="B6" s="2" t="s">
        <v>19</v>
      </c>
      <c r="C6" s="2" t="s">
        <v>20</v>
      </c>
      <c r="D6" s="2" t="s">
        <v>21</v>
      </c>
      <c r="E6" s="2" t="s">
        <v>22</v>
      </c>
      <c r="F6" s="2" t="s">
        <v>23</v>
      </c>
    </row>
    <row r="7" spans="1:52" ht="28">
      <c r="A7" s="25">
        <v>4</v>
      </c>
      <c r="B7" s="2" t="s">
        <v>24</v>
      </c>
      <c r="C7" s="2" t="s">
        <v>337</v>
      </c>
      <c r="D7" s="2" t="s">
        <v>25</v>
      </c>
      <c r="E7" s="2" t="s">
        <v>26</v>
      </c>
      <c r="F7" s="2" t="s">
        <v>27</v>
      </c>
    </row>
    <row r="8" spans="1:52" ht="28">
      <c r="A8" s="25">
        <v>5</v>
      </c>
      <c r="B8" s="2" t="s">
        <v>28</v>
      </c>
      <c r="C8" s="2" t="s">
        <v>29</v>
      </c>
      <c r="D8" s="2" t="s">
        <v>25</v>
      </c>
      <c r="E8" s="2" t="s">
        <v>30</v>
      </c>
      <c r="F8" s="2" t="s">
        <v>31</v>
      </c>
    </row>
    <row r="9" spans="1:52" ht="28">
      <c r="A9" s="25">
        <v>6</v>
      </c>
      <c r="B9" s="2" t="s">
        <v>32</v>
      </c>
      <c r="C9" s="2" t="s">
        <v>33</v>
      </c>
      <c r="D9" s="2" t="s">
        <v>25</v>
      </c>
      <c r="E9" s="2" t="s">
        <v>34</v>
      </c>
      <c r="F9" s="2" t="s">
        <v>35</v>
      </c>
    </row>
    <row r="11" spans="1:52">
      <c r="A11" s="45" t="s">
        <v>36</v>
      </c>
      <c r="B11" t="s">
        <v>37</v>
      </c>
      <c r="C11" t="s">
        <v>38</v>
      </c>
      <c r="D11" t="s">
        <v>39</v>
      </c>
      <c r="E11" t="s">
        <v>40</v>
      </c>
    </row>
    <row r="13" spans="1:52">
      <c r="A13" s="46" t="s">
        <v>405</v>
      </c>
      <c r="B13" s="46" t="s">
        <v>406</v>
      </c>
    </row>
    <row r="14" spans="1:52">
      <c r="A14" s="47" t="s">
        <v>407</v>
      </c>
      <c r="B14" s="26" t="s">
        <v>408</v>
      </c>
    </row>
    <row r="15" spans="1:52">
      <c r="A15" s="26" t="s">
        <v>281</v>
      </c>
      <c r="B15" s="26" t="s">
        <v>409</v>
      </c>
    </row>
    <row r="16" spans="1:52">
      <c r="A16" s="26" t="s">
        <v>131</v>
      </c>
      <c r="B16" s="26" t="s">
        <v>410</v>
      </c>
    </row>
    <row r="17" spans="1:6">
      <c r="A17" s="26" t="s">
        <v>411</v>
      </c>
      <c r="B17" s="26" t="s">
        <v>412</v>
      </c>
    </row>
    <row r="18" spans="1:6">
      <c r="A18" s="26" t="s">
        <v>413</v>
      </c>
      <c r="B18" s="26" t="s">
        <v>414</v>
      </c>
    </row>
    <row r="19" spans="1:6">
      <c r="A19" s="26" t="s">
        <v>415</v>
      </c>
      <c r="B19" s="26" t="s">
        <v>416</v>
      </c>
    </row>
    <row r="20" spans="1:6" ht="42">
      <c r="A20" s="26" t="s">
        <v>424</v>
      </c>
      <c r="B20" s="26" t="s">
        <v>425</v>
      </c>
    </row>
    <row r="21" spans="1:6">
      <c r="A21" s="51" t="s">
        <v>41</v>
      </c>
      <c r="B21" s="52"/>
      <c r="C21" s="52"/>
      <c r="D21" s="52"/>
      <c r="E21" s="52"/>
      <c r="F21" s="52"/>
    </row>
    <row r="22" spans="1:6">
      <c r="A22" t="s">
        <v>42</v>
      </c>
      <c r="B22" t="s">
        <v>43</v>
      </c>
    </row>
    <row r="23" spans="1:6">
      <c r="A23" t="s">
        <v>44</v>
      </c>
      <c r="B23" t="s">
        <v>45</v>
      </c>
    </row>
    <row r="24" spans="1:6">
      <c r="A24" t="s">
        <v>46</v>
      </c>
      <c r="B24" t="s">
        <v>47</v>
      </c>
    </row>
    <row r="26" spans="1:6">
      <c r="A26" s="1" t="s">
        <v>334</v>
      </c>
    </row>
    <row r="27" spans="1:6" ht="28">
      <c r="A27" s="48" t="s">
        <v>335</v>
      </c>
      <c r="B27" s="2" t="s">
        <v>336</v>
      </c>
    </row>
    <row r="29" spans="1:6" ht="28">
      <c r="A29" s="48" t="s">
        <v>417</v>
      </c>
      <c r="B29" s="2" t="s">
        <v>418</v>
      </c>
    </row>
    <row r="30" spans="1:6" ht="28">
      <c r="A30" s="48" t="s">
        <v>426</v>
      </c>
      <c r="B30" s="2" t="s">
        <v>427</v>
      </c>
    </row>
  </sheetData>
  <mergeCells count="2">
    <mergeCell ref="A1:F1"/>
    <mergeCell ref="A21:F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29"/>
  <sheetViews>
    <sheetView topLeftCell="I15" zoomScale="85" zoomScaleNormal="85" workbookViewId="0">
      <selection activeCell="M28" sqref="M28"/>
    </sheetView>
  </sheetViews>
  <sheetFormatPr defaultRowHeight="14"/>
  <cols>
    <col min="1" max="1" width="4.6640625" style="11" customWidth="1"/>
    <col min="2" max="2" width="14.25" style="11" bestFit="1" customWidth="1"/>
    <col min="3" max="3" width="14.58203125" style="11" bestFit="1" customWidth="1"/>
    <col min="4" max="4" width="33.08203125" bestFit="1" customWidth="1"/>
    <col min="5" max="5" width="20.5" bestFit="1" customWidth="1"/>
    <col min="6" max="6" width="33.08203125" customWidth="1"/>
    <col min="7" max="7" width="36.33203125" bestFit="1" customWidth="1"/>
    <col min="8" max="8" width="18" style="11" customWidth="1"/>
    <col min="9" max="9" width="89.5" bestFit="1" customWidth="1"/>
    <col min="10" max="10" width="26.25" bestFit="1" customWidth="1"/>
    <col min="11" max="12" width="18" style="11" customWidth="1"/>
    <col min="13" max="13" width="217.75" bestFit="1" customWidth="1"/>
  </cols>
  <sheetData>
    <row r="1" spans="1:51" ht="28">
      <c r="A1" s="1" t="s">
        <v>48</v>
      </c>
      <c r="B1" s="3" t="s">
        <v>49</v>
      </c>
      <c r="C1" s="3" t="s">
        <v>50</v>
      </c>
      <c r="D1" s="1" t="s">
        <v>51</v>
      </c>
      <c r="E1" s="1" t="s">
        <v>52</v>
      </c>
      <c r="F1" s="1" t="s">
        <v>53</v>
      </c>
      <c r="G1" s="1" t="s">
        <v>54</v>
      </c>
      <c r="H1" s="4" t="s">
        <v>55</v>
      </c>
      <c r="I1" s="1" t="s">
        <v>56</v>
      </c>
      <c r="J1" s="1" t="s">
        <v>57</v>
      </c>
      <c r="K1" s="1" t="s">
        <v>58</v>
      </c>
      <c r="L1" s="4" t="s">
        <v>59</v>
      </c>
      <c r="M1" s="1" t="s">
        <v>60</v>
      </c>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51">
      <c r="A2" s="11">
        <v>1</v>
      </c>
      <c r="B2" s="14">
        <v>46164.681805555556</v>
      </c>
      <c r="C2" s="14">
        <v>46164.68613425926</v>
      </c>
      <c r="D2" t="s">
        <v>342</v>
      </c>
      <c r="E2" t="s">
        <v>61</v>
      </c>
      <c r="F2" t="s">
        <v>62</v>
      </c>
      <c r="G2" t="s">
        <v>63</v>
      </c>
      <c r="H2" s="14">
        <v>46185</v>
      </c>
      <c r="I2" t="s">
        <v>64</v>
      </c>
      <c r="J2" t="s">
        <v>65</v>
      </c>
      <c r="K2" s="11">
        <v>750</v>
      </c>
      <c r="L2" s="14">
        <v>46233</v>
      </c>
      <c r="M2" t="s">
        <v>301</v>
      </c>
    </row>
    <row r="3" spans="1:51">
      <c r="A3" s="11">
        <v>2</v>
      </c>
      <c r="B3" s="14">
        <v>46164.686180555553</v>
      </c>
      <c r="C3" s="14">
        <v>46164.688263888886</v>
      </c>
      <c r="D3" t="s">
        <v>342</v>
      </c>
      <c r="E3" t="s">
        <v>61</v>
      </c>
      <c r="F3" t="s">
        <v>66</v>
      </c>
      <c r="G3" t="s">
        <v>63</v>
      </c>
      <c r="H3" s="14">
        <v>46185</v>
      </c>
      <c r="I3" t="s">
        <v>67</v>
      </c>
      <c r="J3" t="s">
        <v>68</v>
      </c>
      <c r="K3" s="11">
        <v>570</v>
      </c>
      <c r="L3" s="14">
        <v>46310</v>
      </c>
      <c r="M3" t="s">
        <v>300</v>
      </c>
    </row>
    <row r="4" spans="1:51">
      <c r="A4" s="11">
        <v>3</v>
      </c>
      <c r="B4" s="14">
        <v>46164.690138888887</v>
      </c>
      <c r="C4" s="14">
        <v>46164.70417824074</v>
      </c>
      <c r="D4" t="s">
        <v>69</v>
      </c>
      <c r="E4" t="s">
        <v>70</v>
      </c>
      <c r="F4" t="s">
        <v>71</v>
      </c>
      <c r="G4" s="16" t="s">
        <v>72</v>
      </c>
      <c r="H4" s="14">
        <v>46160</v>
      </c>
      <c r="I4" t="s">
        <v>294</v>
      </c>
      <c r="J4" t="s">
        <v>73</v>
      </c>
      <c r="K4" s="11">
        <v>500</v>
      </c>
      <c r="L4" s="14">
        <v>46230</v>
      </c>
      <c r="M4" t="s">
        <v>279</v>
      </c>
    </row>
    <row r="5" spans="1:51">
      <c r="A5" s="11">
        <v>4</v>
      </c>
      <c r="B5" s="14">
        <v>46164.704224537039</v>
      </c>
      <c r="C5" s="14">
        <v>46164.737488425926</v>
      </c>
      <c r="D5" t="s">
        <v>69</v>
      </c>
      <c r="E5" t="s">
        <v>74</v>
      </c>
      <c r="F5" t="s">
        <v>71</v>
      </c>
      <c r="G5" t="s">
        <v>72</v>
      </c>
      <c r="H5" s="14">
        <v>46254</v>
      </c>
      <c r="I5" t="s">
        <v>75</v>
      </c>
      <c r="J5" t="s">
        <v>76</v>
      </c>
      <c r="K5" s="11">
        <v>1500</v>
      </c>
      <c r="L5" s="14">
        <v>46324</v>
      </c>
      <c r="M5" t="s">
        <v>280</v>
      </c>
    </row>
    <row r="6" spans="1:51">
      <c r="A6" s="11">
        <v>5</v>
      </c>
      <c r="B6" s="14">
        <v>46167.393900462965</v>
      </c>
      <c r="C6" s="14">
        <v>46167.397094907406</v>
      </c>
      <c r="D6" t="s">
        <v>69</v>
      </c>
      <c r="E6" t="s">
        <v>77</v>
      </c>
      <c r="F6" t="s">
        <v>78</v>
      </c>
      <c r="G6" t="s">
        <v>79</v>
      </c>
      <c r="H6" s="14">
        <v>46153</v>
      </c>
      <c r="I6" t="s">
        <v>80</v>
      </c>
      <c r="J6" t="s">
        <v>81</v>
      </c>
      <c r="K6" s="11">
        <v>1000</v>
      </c>
      <c r="L6" s="14">
        <v>46184</v>
      </c>
      <c r="M6" t="s">
        <v>82</v>
      </c>
    </row>
    <row r="7" spans="1:51">
      <c r="A7" s="11">
        <v>6</v>
      </c>
      <c r="B7" s="14">
        <v>46167.397638888891</v>
      </c>
      <c r="C7" s="14">
        <v>46167.410115740742</v>
      </c>
      <c r="D7" t="s">
        <v>341</v>
      </c>
      <c r="E7" t="s">
        <v>83</v>
      </c>
      <c r="F7" t="s">
        <v>84</v>
      </c>
      <c r="G7" t="s">
        <v>85</v>
      </c>
      <c r="H7" s="14">
        <v>46121</v>
      </c>
      <c r="I7" t="s">
        <v>86</v>
      </c>
      <c r="J7" t="s">
        <v>87</v>
      </c>
      <c r="K7" s="11">
        <v>5000</v>
      </c>
      <c r="L7" s="14">
        <v>46259</v>
      </c>
      <c r="M7" t="s">
        <v>88</v>
      </c>
    </row>
    <row r="8" spans="1:51">
      <c r="A8" s="11">
        <v>7</v>
      </c>
      <c r="B8" s="14">
        <v>46167.410150462965</v>
      </c>
      <c r="C8" s="14">
        <v>46167.413090277776</v>
      </c>
      <c r="D8" t="s">
        <v>341</v>
      </c>
      <c r="E8" t="s">
        <v>83</v>
      </c>
      <c r="F8" t="s">
        <v>84</v>
      </c>
      <c r="G8" t="s">
        <v>85</v>
      </c>
      <c r="H8" s="14">
        <v>46121</v>
      </c>
      <c r="I8" t="s">
        <v>89</v>
      </c>
      <c r="J8" t="s">
        <v>89</v>
      </c>
      <c r="K8" s="11">
        <v>2000</v>
      </c>
      <c r="L8" s="14">
        <v>46259</v>
      </c>
      <c r="M8" t="s">
        <v>90</v>
      </c>
    </row>
    <row r="9" spans="1:51">
      <c r="A9" s="11">
        <v>8</v>
      </c>
      <c r="B9" s="14">
        <v>46167.413124999999</v>
      </c>
      <c r="C9" s="14">
        <v>46167.41946759259</v>
      </c>
      <c r="D9" t="s">
        <v>341</v>
      </c>
      <c r="E9" t="s">
        <v>83</v>
      </c>
      <c r="F9" t="s">
        <v>84</v>
      </c>
      <c r="G9" t="s">
        <v>85</v>
      </c>
      <c r="H9" s="14">
        <v>46121</v>
      </c>
      <c r="I9" t="s">
        <v>91</v>
      </c>
      <c r="J9" t="s">
        <v>92</v>
      </c>
      <c r="K9" s="11">
        <v>1300</v>
      </c>
      <c r="L9" s="14">
        <v>46155</v>
      </c>
      <c r="M9" t="s">
        <v>93</v>
      </c>
    </row>
    <row r="10" spans="1:51">
      <c r="A10" s="11">
        <v>9</v>
      </c>
      <c r="B10" s="14">
        <v>46177.928634259297</v>
      </c>
      <c r="C10" s="14">
        <v>46177.929803240702</v>
      </c>
      <c r="D10" t="s">
        <v>251</v>
      </c>
      <c r="E10" t="s">
        <v>248</v>
      </c>
      <c r="F10" t="s">
        <v>249</v>
      </c>
      <c r="G10" s="16" t="s">
        <v>250</v>
      </c>
      <c r="H10" s="14">
        <v>46170</v>
      </c>
      <c r="I10" t="s">
        <v>325</v>
      </c>
      <c r="J10" t="s">
        <v>252</v>
      </c>
      <c r="K10" s="11">
        <v>5000</v>
      </c>
      <c r="L10" s="14">
        <v>46249</v>
      </c>
      <c r="M10" t="s">
        <v>326</v>
      </c>
    </row>
    <row r="11" spans="1:51" ht="14.5">
      <c r="A11" s="11">
        <v>10</v>
      </c>
      <c r="B11" s="14">
        <v>46178.649039351803</v>
      </c>
      <c r="C11" s="14">
        <v>46178.655497685198</v>
      </c>
      <c r="D11" t="s">
        <v>363</v>
      </c>
      <c r="E11" t="s">
        <v>271</v>
      </c>
      <c r="F11" t="s">
        <v>272</v>
      </c>
      <c r="G11" s="20" t="s">
        <v>273</v>
      </c>
      <c r="H11" s="14">
        <v>46155</v>
      </c>
      <c r="I11" t="s">
        <v>274</v>
      </c>
      <c r="J11" t="s">
        <v>275</v>
      </c>
      <c r="K11" s="11">
        <v>3600</v>
      </c>
      <c r="L11" s="14">
        <v>46254</v>
      </c>
      <c r="M11" t="s">
        <v>278</v>
      </c>
    </row>
    <row r="12" spans="1:51">
      <c r="A12" s="11">
        <v>11</v>
      </c>
      <c r="B12" s="14">
        <v>46182.602511574099</v>
      </c>
      <c r="C12" s="14">
        <v>46182.616608796299</v>
      </c>
      <c r="D12" t="s">
        <v>342</v>
      </c>
      <c r="E12" t="s">
        <v>61</v>
      </c>
      <c r="F12" t="s">
        <v>66</v>
      </c>
      <c r="G12" s="21" t="s">
        <v>63</v>
      </c>
      <c r="H12" s="14">
        <v>46185</v>
      </c>
      <c r="I12" t="s">
        <v>378</v>
      </c>
      <c r="J12" t="s">
        <v>276</v>
      </c>
      <c r="K12" s="11">
        <v>3000</v>
      </c>
      <c r="L12" s="14">
        <v>46295</v>
      </c>
      <c r="M12" t="s">
        <v>277</v>
      </c>
    </row>
    <row r="13" spans="1:51">
      <c r="A13" s="11">
        <v>12</v>
      </c>
      <c r="B13" s="14">
        <v>46182.621574074103</v>
      </c>
      <c r="C13" s="14">
        <v>46182.6253125</v>
      </c>
      <c r="D13" t="s">
        <v>342</v>
      </c>
      <c r="E13" t="s">
        <v>61</v>
      </c>
      <c r="F13" t="s">
        <v>66</v>
      </c>
      <c r="G13" s="21" t="s">
        <v>63</v>
      </c>
      <c r="H13" s="14">
        <v>46185</v>
      </c>
      <c r="I13" t="s">
        <v>379</v>
      </c>
      <c r="J13" t="s">
        <v>276</v>
      </c>
      <c r="K13" s="11">
        <v>4000</v>
      </c>
      <c r="L13" s="14">
        <v>46295</v>
      </c>
      <c r="M13" t="s">
        <v>284</v>
      </c>
    </row>
    <row r="14" spans="1:51" ht="14.5">
      <c r="A14" s="11">
        <v>13</v>
      </c>
      <c r="B14" s="14">
        <v>46184.734803240703</v>
      </c>
      <c r="C14" s="14">
        <v>46184.740497685198</v>
      </c>
      <c r="D14" t="s">
        <v>342</v>
      </c>
      <c r="E14" s="22" t="s">
        <v>61</v>
      </c>
      <c r="F14" t="s">
        <v>66</v>
      </c>
      <c r="G14" s="22" t="s">
        <v>63</v>
      </c>
      <c r="H14" s="14">
        <v>46185</v>
      </c>
      <c r="I14" t="s">
        <v>380</v>
      </c>
      <c r="J14" t="s">
        <v>276</v>
      </c>
      <c r="K14" s="11">
        <v>4000</v>
      </c>
      <c r="L14" s="14">
        <v>46295</v>
      </c>
      <c r="M14" t="s">
        <v>283</v>
      </c>
    </row>
    <row r="15" spans="1:51">
      <c r="A15" s="11">
        <v>14</v>
      </c>
      <c r="B15" s="14">
        <v>46164.690138888887</v>
      </c>
      <c r="C15" s="14">
        <v>46164.70417824074</v>
      </c>
      <c r="D15" t="s">
        <v>69</v>
      </c>
      <c r="E15" t="s">
        <v>70</v>
      </c>
      <c r="F15" t="s">
        <v>71</v>
      </c>
      <c r="G15" s="16" t="s">
        <v>72</v>
      </c>
      <c r="H15" s="14">
        <v>46200</v>
      </c>
      <c r="I15" t="s">
        <v>386</v>
      </c>
      <c r="J15" t="s">
        <v>73</v>
      </c>
      <c r="K15" s="11">
        <v>500</v>
      </c>
      <c r="L15" s="14">
        <v>46310</v>
      </c>
      <c r="M15" t="s">
        <v>295</v>
      </c>
    </row>
    <row r="16" spans="1:51" ht="14.5">
      <c r="A16" s="11">
        <v>15</v>
      </c>
      <c r="B16" s="14">
        <v>46233.62222222222</v>
      </c>
      <c r="C16" s="14">
        <v>46233.630555555559</v>
      </c>
      <c r="D16" t="s">
        <v>363</v>
      </c>
      <c r="E16" s="38" t="s">
        <v>61</v>
      </c>
      <c r="F16" t="s">
        <v>66</v>
      </c>
      <c r="G16" s="38" t="s">
        <v>63</v>
      </c>
      <c r="H16" s="14">
        <v>46267</v>
      </c>
      <c r="I16" t="s">
        <v>297</v>
      </c>
      <c r="J16" t="s">
        <v>298</v>
      </c>
      <c r="K16" s="11">
        <v>4000</v>
      </c>
      <c r="L16" s="14">
        <v>46326</v>
      </c>
      <c r="M16" t="s">
        <v>299</v>
      </c>
    </row>
    <row r="17" spans="1:13" ht="14.5">
      <c r="A17" s="41">
        <v>16</v>
      </c>
      <c r="B17" s="14">
        <v>46238</v>
      </c>
      <c r="C17" s="14">
        <v>46238.464583333334</v>
      </c>
      <c r="D17" t="s">
        <v>344</v>
      </c>
      <c r="E17" s="38" t="s">
        <v>311</v>
      </c>
      <c r="F17" t="s">
        <v>307</v>
      </c>
      <c r="G17" s="38" t="s">
        <v>308</v>
      </c>
      <c r="H17" s="14">
        <v>46238</v>
      </c>
      <c r="I17" s="38" t="s">
        <v>309</v>
      </c>
      <c r="J17" t="s">
        <v>310</v>
      </c>
      <c r="K17" s="11">
        <v>2000</v>
      </c>
      <c r="L17" s="14">
        <v>46275</v>
      </c>
      <c r="M17" t="s">
        <v>312</v>
      </c>
    </row>
    <row r="18" spans="1:13" ht="14.5">
      <c r="A18" s="41">
        <v>17</v>
      </c>
      <c r="B18" s="14">
        <v>46238</v>
      </c>
      <c r="C18" s="14">
        <v>46238.620833333334</v>
      </c>
      <c r="D18" t="s">
        <v>342</v>
      </c>
      <c r="E18" t="s">
        <v>313</v>
      </c>
      <c r="F18" t="s">
        <v>314</v>
      </c>
      <c r="G18" s="43" t="s">
        <v>315</v>
      </c>
      <c r="H18" s="14">
        <v>46238</v>
      </c>
      <c r="I18" t="s">
        <v>316</v>
      </c>
      <c r="J18" t="s">
        <v>276</v>
      </c>
      <c r="K18" s="11">
        <v>500</v>
      </c>
      <c r="L18" s="14">
        <v>46239</v>
      </c>
      <c r="M18" t="s">
        <v>317</v>
      </c>
    </row>
    <row r="19" spans="1:13" ht="14.5">
      <c r="A19" s="11">
        <v>18</v>
      </c>
      <c r="B19" s="14">
        <v>46238</v>
      </c>
      <c r="C19" s="14">
        <v>46238.464583333334</v>
      </c>
      <c r="D19" t="s">
        <v>344</v>
      </c>
      <c r="E19" s="38" t="s">
        <v>311</v>
      </c>
      <c r="F19" t="s">
        <v>307</v>
      </c>
      <c r="G19" s="38" t="s">
        <v>308</v>
      </c>
      <c r="H19" s="14">
        <v>46238</v>
      </c>
      <c r="I19" t="s">
        <v>327</v>
      </c>
      <c r="J19" t="s">
        <v>310</v>
      </c>
      <c r="K19" s="11">
        <v>2000</v>
      </c>
      <c r="L19" s="14">
        <v>46296</v>
      </c>
      <c r="M19" t="s">
        <v>312</v>
      </c>
    </row>
    <row r="20" spans="1:13">
      <c r="A20" s="11">
        <v>19</v>
      </c>
      <c r="B20" s="14">
        <v>46245</v>
      </c>
      <c r="C20" s="14">
        <v>46245</v>
      </c>
      <c r="D20" t="s">
        <v>342</v>
      </c>
      <c r="E20" t="s">
        <v>313</v>
      </c>
      <c r="F20" t="s">
        <v>314</v>
      </c>
      <c r="G20" s="43" t="s">
        <v>315</v>
      </c>
      <c r="H20" s="14">
        <v>46245</v>
      </c>
      <c r="I20" t="s">
        <v>331</v>
      </c>
      <c r="J20" t="s">
        <v>276</v>
      </c>
      <c r="K20" s="11">
        <v>2000</v>
      </c>
      <c r="L20" s="14">
        <v>46295</v>
      </c>
      <c r="M20" t="s">
        <v>332</v>
      </c>
    </row>
    <row r="21" spans="1:13">
      <c r="A21" s="11">
        <v>20</v>
      </c>
      <c r="B21" s="14">
        <v>46259</v>
      </c>
      <c r="C21" s="14">
        <v>46259</v>
      </c>
      <c r="D21" t="s">
        <v>347</v>
      </c>
      <c r="E21" t="s">
        <v>348</v>
      </c>
      <c r="F21" t="s">
        <v>349</v>
      </c>
      <c r="G21" s="16" t="s">
        <v>350</v>
      </c>
      <c r="H21" s="14">
        <v>46259</v>
      </c>
      <c r="I21" t="s">
        <v>351</v>
      </c>
      <c r="J21" t="s">
        <v>65</v>
      </c>
      <c r="K21" s="11">
        <v>1000</v>
      </c>
      <c r="L21" s="14">
        <v>46295</v>
      </c>
      <c r="M21" t="s">
        <v>352</v>
      </c>
    </row>
    <row r="22" spans="1:13" ht="14.5">
      <c r="A22" s="11">
        <v>21</v>
      </c>
      <c r="B22" s="14">
        <v>46260</v>
      </c>
      <c r="C22" s="14">
        <v>46260</v>
      </c>
      <c r="D22" t="s">
        <v>344</v>
      </c>
      <c r="E22" t="s">
        <v>311</v>
      </c>
      <c r="F22" t="s">
        <v>307</v>
      </c>
      <c r="G22" s="38" t="s">
        <v>308</v>
      </c>
      <c r="H22" s="14">
        <v>46260</v>
      </c>
      <c r="I22" t="s">
        <v>355</v>
      </c>
      <c r="J22" t="s">
        <v>356</v>
      </c>
      <c r="K22" s="11">
        <v>1000</v>
      </c>
      <c r="L22" s="14">
        <v>46274</v>
      </c>
      <c r="M22" t="s">
        <v>357</v>
      </c>
    </row>
    <row r="23" spans="1:13" ht="14" customHeight="1">
      <c r="A23" s="11">
        <v>22</v>
      </c>
      <c r="B23" s="14">
        <v>46274</v>
      </c>
      <c r="C23" s="14">
        <v>46274.70416666667</v>
      </c>
      <c r="D23" s="38" t="s">
        <v>373</v>
      </c>
      <c r="E23" s="38" t="s">
        <v>348</v>
      </c>
      <c r="F23" s="38" t="s">
        <v>370</v>
      </c>
      <c r="G23" s="38" t="s">
        <v>350</v>
      </c>
      <c r="H23" s="14">
        <v>46272</v>
      </c>
      <c r="I23" t="s">
        <v>385</v>
      </c>
      <c r="J23" t="s">
        <v>73</v>
      </c>
      <c r="K23" s="11">
        <v>500</v>
      </c>
      <c r="L23" s="14">
        <v>46325</v>
      </c>
      <c r="M23" t="s">
        <v>371</v>
      </c>
    </row>
    <row r="24" spans="1:13" ht="14.5">
      <c r="A24" s="11">
        <v>23</v>
      </c>
      <c r="B24" s="14">
        <v>46274.70416666667</v>
      </c>
      <c r="C24" s="14">
        <v>46274.705555555556</v>
      </c>
      <c r="D24" s="38" t="s">
        <v>373</v>
      </c>
      <c r="E24" t="s">
        <v>348</v>
      </c>
      <c r="F24" t="s">
        <v>370</v>
      </c>
      <c r="G24" s="16" t="s">
        <v>350</v>
      </c>
      <c r="H24" s="14">
        <v>46272</v>
      </c>
      <c r="I24" t="s">
        <v>384</v>
      </c>
      <c r="J24" t="s">
        <v>73</v>
      </c>
      <c r="K24" s="11">
        <v>500</v>
      </c>
      <c r="L24" s="14">
        <v>46356</v>
      </c>
      <c r="M24" t="s">
        <v>372</v>
      </c>
    </row>
    <row r="25" spans="1:13">
      <c r="A25" s="11">
        <v>24</v>
      </c>
      <c r="B25" s="14">
        <v>46279</v>
      </c>
      <c r="C25" s="14">
        <v>46279</v>
      </c>
      <c r="D25" t="s">
        <v>69</v>
      </c>
      <c r="E25" t="s">
        <v>70</v>
      </c>
      <c r="F25" t="s">
        <v>71</v>
      </c>
      <c r="G25" s="16" t="s">
        <v>72</v>
      </c>
      <c r="H25" s="14">
        <v>46279</v>
      </c>
      <c r="I25" t="s">
        <v>383</v>
      </c>
      <c r="J25" t="s">
        <v>381</v>
      </c>
      <c r="K25" s="11">
        <v>500</v>
      </c>
      <c r="L25" s="14">
        <v>46295</v>
      </c>
      <c r="M25" t="s">
        <v>382</v>
      </c>
    </row>
    <row r="26" spans="1:13" ht="14.5">
      <c r="A26" s="11">
        <v>25</v>
      </c>
      <c r="B26" s="14">
        <v>46283</v>
      </c>
      <c r="C26" s="14">
        <v>46283</v>
      </c>
      <c r="D26" t="s">
        <v>344</v>
      </c>
      <c r="E26" t="s">
        <v>311</v>
      </c>
      <c r="F26" t="s">
        <v>307</v>
      </c>
      <c r="G26" s="38" t="s">
        <v>308</v>
      </c>
      <c r="H26" s="14">
        <v>46283</v>
      </c>
      <c r="I26" t="s">
        <v>355</v>
      </c>
      <c r="J26" t="s">
        <v>356</v>
      </c>
      <c r="K26" s="11">
        <v>1000</v>
      </c>
      <c r="L26" s="14">
        <v>46309</v>
      </c>
      <c r="M26" t="s">
        <v>357</v>
      </c>
    </row>
    <row r="27" spans="1:13">
      <c r="A27" s="11">
        <v>26</v>
      </c>
      <c r="B27" s="14">
        <v>46287</v>
      </c>
      <c r="C27" s="14">
        <v>46287</v>
      </c>
      <c r="D27" t="s">
        <v>347</v>
      </c>
      <c r="E27" t="s">
        <v>348</v>
      </c>
      <c r="F27" t="s">
        <v>349</v>
      </c>
      <c r="G27" s="16" t="s">
        <v>350</v>
      </c>
      <c r="H27" s="14">
        <v>46287</v>
      </c>
      <c r="I27" t="s">
        <v>351</v>
      </c>
      <c r="J27" t="s">
        <v>65</v>
      </c>
      <c r="K27" s="11">
        <v>1000</v>
      </c>
      <c r="L27" s="14">
        <v>46356</v>
      </c>
      <c r="M27" t="s">
        <v>391</v>
      </c>
    </row>
    <row r="28" spans="1:13">
      <c r="A28" s="11">
        <v>27</v>
      </c>
      <c r="B28" s="14">
        <v>46293</v>
      </c>
      <c r="C28" s="14">
        <v>46293</v>
      </c>
      <c r="D28" t="s">
        <v>395</v>
      </c>
      <c r="E28" t="s">
        <v>396</v>
      </c>
      <c r="F28" t="s">
        <v>397</v>
      </c>
      <c r="G28" s="16" t="s">
        <v>398</v>
      </c>
      <c r="H28" s="14">
        <v>46293</v>
      </c>
      <c r="I28" t="s">
        <v>399</v>
      </c>
      <c r="J28" t="s">
        <v>276</v>
      </c>
      <c r="K28" s="11">
        <v>1000</v>
      </c>
      <c r="L28" s="14">
        <v>46311</v>
      </c>
      <c r="M28" t="s">
        <v>400</v>
      </c>
    </row>
    <row r="29" spans="1:13" ht="14.5">
      <c r="A29" s="11">
        <v>28</v>
      </c>
      <c r="B29" s="14">
        <v>46297.647916666669</v>
      </c>
      <c r="C29" s="14">
        <v>46297.649305555555</v>
      </c>
      <c r="D29" t="s">
        <v>344</v>
      </c>
      <c r="E29" t="s">
        <v>311</v>
      </c>
      <c r="F29" t="s">
        <v>307</v>
      </c>
      <c r="G29" s="38" t="s">
        <v>308</v>
      </c>
      <c r="H29" s="14">
        <v>46300</v>
      </c>
      <c r="I29" t="s">
        <v>419</v>
      </c>
      <c r="J29" t="s">
        <v>420</v>
      </c>
      <c r="K29" s="11">
        <v>60</v>
      </c>
      <c r="L29" s="14">
        <v>46314</v>
      </c>
      <c r="M29" t="s">
        <v>428</v>
      </c>
    </row>
  </sheetData>
  <phoneticPr fontId="10" type="noConversion"/>
  <hyperlinks>
    <hyperlink ref="G10" r:id="rId1" xr:uid="{31076323-9E17-4AE2-837D-0200ABEAA65E}"/>
    <hyperlink ref="G13" r:id="rId2" xr:uid="{9711B0D8-9572-4DD6-9AC8-BA9C66AD9FD7}"/>
    <hyperlink ref="G12" r:id="rId3" xr:uid="{81E8EB4F-A1B8-4F2F-9C61-DB90E2CE2E2B}"/>
    <hyperlink ref="G15" r:id="rId4" xr:uid="{99C3B901-4675-4910-806E-DF54ED6DE33C}"/>
    <hyperlink ref="G18" r:id="rId5" xr:uid="{E1BA2D6D-AD11-48AB-856A-81FB0C617838}"/>
    <hyperlink ref="G20" r:id="rId6" xr:uid="{C809B221-78C6-4F24-A576-F90895C9F9BD}"/>
    <hyperlink ref="G21" r:id="rId7" xr:uid="{3F698745-B922-4880-9C6B-6C4337687C47}"/>
    <hyperlink ref="G4" r:id="rId8" xr:uid="{FCD31C07-2B74-4EF6-8D73-F3EA20F45469}"/>
    <hyperlink ref="G25" r:id="rId9" xr:uid="{C78864EB-627A-4609-A30F-9DC3B5759356}"/>
    <hyperlink ref="G24" r:id="rId10" xr:uid="{559DCA8B-439A-4D01-981C-EF5E9D2A2EC0}"/>
    <hyperlink ref="G27" r:id="rId11" xr:uid="{F9367A6B-6405-4030-998B-CAB62DD1C6BC}"/>
    <hyperlink ref="G28" r:id="rId12" xr:uid="{506A5157-254E-450F-B58B-DA50030AD4AC}"/>
  </hyperlinks>
  <pageMargins left="0.7" right="0.7" top="0.75" bottom="0.75" header="0.3" footer="0.3"/>
  <tableParts count="1">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201"/>
  <sheetViews>
    <sheetView zoomScale="70" zoomScaleNormal="70" workbookViewId="0">
      <selection activeCell="G27" sqref="G27"/>
    </sheetView>
  </sheetViews>
  <sheetFormatPr defaultRowHeight="14"/>
  <cols>
    <col min="1" max="2" width="16" customWidth="1"/>
    <col min="3" max="3" width="16" style="13" customWidth="1"/>
    <col min="4" max="7" width="16" customWidth="1"/>
    <col min="8" max="8" width="35" customWidth="1"/>
    <col min="9" max="9" width="16" style="11" customWidth="1"/>
    <col min="10" max="11" width="16" customWidth="1"/>
    <col min="12" max="12" width="40" customWidth="1"/>
    <col min="13" max="15" width="16" style="11" customWidth="1"/>
    <col min="16" max="16" width="8.6640625" style="11" bestFit="1" customWidth="1"/>
    <col min="17" max="17" width="9.75" bestFit="1" customWidth="1"/>
    <col min="18" max="18" width="21.1640625" customWidth="1"/>
    <col min="19" max="19" width="10.75" style="11" bestFit="1" customWidth="1"/>
    <col min="20" max="20" width="35" style="11" customWidth="1"/>
  </cols>
  <sheetData>
    <row r="1" spans="1:51" ht="28">
      <c r="A1" s="1" t="s">
        <v>94</v>
      </c>
      <c r="B1" s="15" t="s">
        <v>95</v>
      </c>
      <c r="C1" s="15" t="s">
        <v>96</v>
      </c>
      <c r="D1" s="1" t="s">
        <v>97</v>
      </c>
      <c r="E1" s="1" t="s">
        <v>98</v>
      </c>
      <c r="F1" s="1" t="s">
        <v>53</v>
      </c>
      <c r="G1" s="1" t="s">
        <v>99</v>
      </c>
      <c r="H1" s="1" t="s">
        <v>100</v>
      </c>
      <c r="I1" s="1" t="s">
        <v>101</v>
      </c>
      <c r="J1" s="1" t="s">
        <v>102</v>
      </c>
      <c r="K1" s="4" t="s">
        <v>103</v>
      </c>
      <c r="L1" s="1" t="s">
        <v>104</v>
      </c>
      <c r="M1" s="1" t="s">
        <v>105</v>
      </c>
      <c r="N1" s="1" t="s">
        <v>106</v>
      </c>
      <c r="O1" s="1" t="s">
        <v>107</v>
      </c>
      <c r="P1" s="5" t="s">
        <v>108</v>
      </c>
      <c r="Q1" s="1" t="s">
        <v>109</v>
      </c>
      <c r="R1" s="1" t="s">
        <v>110</v>
      </c>
      <c r="S1" s="1" t="s">
        <v>111</v>
      </c>
      <c r="T1" s="1" t="s">
        <v>112</v>
      </c>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51" ht="70">
      <c r="A2" s="2">
        <f>IF('01_Forms_Raw'!A2="","",'01_Forms_Raw'!A2)</f>
        <v>1</v>
      </c>
      <c r="B2" s="9">
        <f>IF('01_Forms_Raw'!B2="","",'01_Forms_Raw'!B2)</f>
        <v>46164.681805555556</v>
      </c>
      <c r="C2" s="9">
        <f>IF('01_Forms_Raw'!H2="","",'01_Forms_Raw'!H2)</f>
        <v>46185</v>
      </c>
      <c r="D2" s="2" t="str">
        <f>IF('01_Forms_Raw'!D2="","",'01_Forms_Raw'!D2)</f>
        <v>Rectoria - Comunicaciones y Mercadeo</v>
      </c>
      <c r="E2" s="2" t="str">
        <f>IF('01_Forms_Raw'!E2="","",'01_Forms_Raw'!E2)</f>
        <v>Camilo Robledo</v>
      </c>
      <c r="F2" s="2" t="str">
        <f>IF('01_Forms_Raw'!F2="","",'01_Forms_Raw'!F2)</f>
        <v>Coordinador Contenido</v>
      </c>
      <c r="G2" s="2" t="str">
        <f>IF('01_Forms_Raw'!G2="","",'01_Forms_Raw'!G2)</f>
        <v>coordinadordecontenidos@unimetro.edu.co</v>
      </c>
      <c r="H2" s="2" t="str">
        <f>IF('01_Forms_Raw'!I2="","",'01_Forms_Raw'!I2)</f>
        <v>Miniblocks - Mercadeo / pieza promocional unimetro</v>
      </c>
      <c r="I2" s="10" t="str">
        <f>IF('01_Forms_Raw'!J2="","",'01_Forms_Raw'!J2)</f>
        <v>MiniBlocks</v>
      </c>
      <c r="J2" s="2">
        <f>IF('01_Forms_Raw'!K2="","",VALUE('01_Forms_Raw'!K2))</f>
        <v>750</v>
      </c>
      <c r="K2" s="9">
        <f>IF('01_Forms_Raw'!L2="","",'01_Forms_Raw'!L2)</f>
        <v>46233</v>
      </c>
      <c r="L2" s="2" t="str">
        <f>IF('01_Forms_Raw'!M2="","",'01_Forms_Raw'!M2)</f>
        <v>Mini Blocks pedido de Vicerrectoria. Se entregan 50 unidades a Julio Higgins para campaña mercadeo del Dpto de Diseño y Comunicaciones. El resto de la producción se entregará a Rectoría</v>
      </c>
      <c r="M2" s="10" t="s">
        <v>113</v>
      </c>
      <c r="N2" s="10" t="s">
        <v>198</v>
      </c>
      <c r="O2" s="10" t="str">
        <f t="shared" ref="O2:O33" si="0">IF(A2="","",IF(AND(D2&lt;&gt;"",E2&lt;&gt;"",H2&lt;&gt;"",I2&lt;&gt;"",J2&lt;&gt;"",K2&lt;&gt;""),"Completa","Incompleta"))</f>
        <v>Completa</v>
      </c>
      <c r="P2" s="10">
        <f t="shared" ref="P2:P33" si="1">IF(A2="","",K2-C2)</f>
        <v>48</v>
      </c>
      <c r="Q2" s="2" t="str">
        <f t="shared" ref="Q2:Q33" si="2">IF(A2="","",IF(P2&lt;3,"Riesgo SLA",IF(P2&lt;7,"Corto","OK")))</f>
        <v>OK</v>
      </c>
      <c r="R2" s="2" t="str">
        <f t="shared" ref="R2:R33" si="3">IF(A2="","","OT-UM-"&amp;TEXT(C2,"yyyymm")&amp;"-"&amp;TEXT(A2,"000"))</f>
        <v>OT-UM-202606-001</v>
      </c>
      <c r="S2" s="10" t="str">
        <f t="shared" ref="S2:S33" si="4">IF(A2="","",IF(O2="Completa","Sí","No"))</f>
        <v>Sí</v>
      </c>
      <c r="T2" s="10" t="str">
        <f t="shared" ref="T2:T33" si="5">IF(A2="","",IF(O2="Completa","Lista para OT","Completar brief antes de pasar a diseño"))</f>
        <v>Lista para OT</v>
      </c>
    </row>
    <row r="3" spans="1:51" ht="56">
      <c r="A3" s="2">
        <f>IF('01_Forms_Raw'!A3="","",'01_Forms_Raw'!A3)</f>
        <v>2</v>
      </c>
      <c r="B3" s="9">
        <f>IF('01_Forms_Raw'!B3="","",'01_Forms_Raw'!B3)</f>
        <v>46164.686180555553</v>
      </c>
      <c r="C3" s="9">
        <f>IF('01_Forms_Raw'!H3="","",'01_Forms_Raw'!H3)</f>
        <v>46185</v>
      </c>
      <c r="D3" s="2" t="str">
        <f>IF('01_Forms_Raw'!D3="","",'01_Forms_Raw'!D3)</f>
        <v>Rectoria - Comunicaciones y Mercadeo</v>
      </c>
      <c r="E3" s="2" t="str">
        <f>IF('01_Forms_Raw'!E3="","",'01_Forms_Raw'!E3)</f>
        <v>Camilo Robledo</v>
      </c>
      <c r="F3" s="2" t="str">
        <f>IF('01_Forms_Raw'!F3="","",'01_Forms_Raw'!F3)</f>
        <v>Coordinador Comunicaciones</v>
      </c>
      <c r="G3" s="2" t="str">
        <f>IF('01_Forms_Raw'!G3="","",'01_Forms_Raw'!G3)</f>
        <v>coordinadordecontenidos@unimetro.edu.co</v>
      </c>
      <c r="H3" s="2" t="str">
        <f>IF('01_Forms_Raw'!I3="","",'01_Forms_Raw'!I3)</f>
        <v>Memos - pieza de mercadeo para el area de comunicaciones</v>
      </c>
      <c r="I3" s="10" t="str">
        <f>IF('01_Forms_Raw'!J3="","",'01_Forms_Raw'!J3)</f>
        <v>Memos</v>
      </c>
      <c r="J3" s="2">
        <f>IF('01_Forms_Raw'!K3="","",VALUE('01_Forms_Raw'!K3))</f>
        <v>570</v>
      </c>
      <c r="K3" s="9">
        <f>IF('01_Forms_Raw'!L3="","",'01_Forms_Raw'!L3)</f>
        <v>46310</v>
      </c>
      <c r="L3" s="2" t="str">
        <f>IF('01_Forms_Raw'!M3="","",'01_Forms_Raw'!M3)</f>
        <v>Mini Memos pedido de Vicerrectoria. Se entregan 50 unidades a Julio Higgins para campaña mercadeo del Dpto de Diseño y Comunicaciones</v>
      </c>
      <c r="M3" s="10" t="s">
        <v>113</v>
      </c>
      <c r="N3" s="10" t="s">
        <v>198</v>
      </c>
      <c r="O3" s="10" t="str">
        <f t="shared" si="0"/>
        <v>Completa</v>
      </c>
      <c r="P3" s="10">
        <f t="shared" si="1"/>
        <v>125</v>
      </c>
      <c r="Q3" s="2" t="str">
        <f t="shared" si="2"/>
        <v>OK</v>
      </c>
      <c r="R3" s="2" t="str">
        <f t="shared" si="3"/>
        <v>OT-UM-202606-002</v>
      </c>
      <c r="S3" s="10" t="str">
        <f t="shared" si="4"/>
        <v>Sí</v>
      </c>
      <c r="T3" s="10" t="str">
        <f t="shared" si="5"/>
        <v>Lista para OT</v>
      </c>
    </row>
    <row r="4" spans="1:51" ht="70">
      <c r="A4" s="2">
        <f>IF('01_Forms_Raw'!A4="","",'01_Forms_Raw'!A4)</f>
        <v>3</v>
      </c>
      <c r="B4" s="9">
        <f>IF('01_Forms_Raw'!B4="","",'01_Forms_Raw'!B4)</f>
        <v>46164.690138888887</v>
      </c>
      <c r="C4" s="9">
        <f>IF('01_Forms_Raw'!H4="","",'01_Forms_Raw'!H4)</f>
        <v>46160</v>
      </c>
      <c r="D4" s="2" t="str">
        <f>IF('01_Forms_Raw'!D4="","",'01_Forms_Raw'!D4)</f>
        <v>Vicerrectoria</v>
      </c>
      <c r="E4" s="2" t="str">
        <f>IF('01_Forms_Raw'!E4="","",'01_Forms_Raw'!E4)</f>
        <v>Jose Luis Castro Guerra</v>
      </c>
      <c r="F4" s="2" t="str">
        <f>IF('01_Forms_Raw'!F4="","",'01_Forms_Raw'!F4)</f>
        <v>Vicerrector</v>
      </c>
      <c r="G4" s="2" t="str">
        <f>IF('01_Forms_Raw'!G4="","",'01_Forms_Raw'!G4)</f>
        <v>vice-rectoria@unimetro.edu.co</v>
      </c>
      <c r="H4" s="2" t="str">
        <f>IF('01_Forms_Raw'!I4="","",'01_Forms_Raw'!I4)</f>
        <v>Agendas  - Material interno y de distribución externa para segundo semestre 2026</v>
      </c>
      <c r="I4" s="10" t="str">
        <f>IF('01_Forms_Raw'!J4="","",'01_Forms_Raw'!J4)</f>
        <v>Agendas</v>
      </c>
      <c r="J4" s="2">
        <f>IF('01_Forms_Raw'!K4="","",VALUE('01_Forms_Raw'!K4))</f>
        <v>500</v>
      </c>
      <c r="K4" s="9">
        <f>IF('01_Forms_Raw'!L4="","",'01_Forms_Raw'!L4)</f>
        <v>46230</v>
      </c>
      <c r="L4" s="2" t="str">
        <f>IF('01_Forms_Raw'!M4="","",'01_Forms_Raw'!M4)</f>
        <v>Material de la Agendas ya se adquirió. Al 11 de Junio la planchas están en proceso de elaboración por proveedor. Se requiere tecnico empastador para apoyar con el ensamble de las agendas</v>
      </c>
      <c r="M4" s="10" t="s">
        <v>113</v>
      </c>
      <c r="N4" s="10" t="s">
        <v>198</v>
      </c>
      <c r="O4" s="10" t="str">
        <f t="shared" si="0"/>
        <v>Completa</v>
      </c>
      <c r="P4" s="10">
        <f t="shared" si="1"/>
        <v>70</v>
      </c>
      <c r="Q4" s="2" t="str">
        <f t="shared" si="2"/>
        <v>OK</v>
      </c>
      <c r="R4" s="2" t="str">
        <f t="shared" si="3"/>
        <v>OT-UM-202605-003</v>
      </c>
      <c r="S4" s="10" t="str">
        <f t="shared" si="4"/>
        <v>Sí</v>
      </c>
      <c r="T4" s="10" t="str">
        <f t="shared" si="5"/>
        <v>Lista para OT</v>
      </c>
    </row>
    <row r="5" spans="1:51" ht="42">
      <c r="A5" s="2">
        <f>IF('01_Forms_Raw'!A5="","",'01_Forms_Raw'!A5)</f>
        <v>4</v>
      </c>
      <c r="B5" s="9">
        <f>IF('01_Forms_Raw'!B5="","",'01_Forms_Raw'!B5)</f>
        <v>46164.704224537039</v>
      </c>
      <c r="C5" s="9">
        <f>IF('01_Forms_Raw'!H5="","",'01_Forms_Raw'!H5)</f>
        <v>46254</v>
      </c>
      <c r="D5" s="2" t="str">
        <f>IF('01_Forms_Raw'!D5="","",'01_Forms_Raw'!D5)</f>
        <v>Vicerrectoria</v>
      </c>
      <c r="E5" s="2" t="str">
        <f>IF('01_Forms_Raw'!E5="","",'01_Forms_Raw'!E5)</f>
        <v>Jose Luis Castro</v>
      </c>
      <c r="F5" s="2" t="str">
        <f>IF('01_Forms_Raw'!F5="","",'01_Forms_Raw'!F5)</f>
        <v>Vicerrector</v>
      </c>
      <c r="G5" s="2" t="str">
        <f>IF('01_Forms_Raw'!G5="","",'01_Forms_Raw'!G5)</f>
        <v>vice-rectoria@unimetro.edu.co</v>
      </c>
      <c r="H5" s="2" t="str">
        <f>IF('01_Forms_Raw'!I5="","",'01_Forms_Raw'!I5)</f>
        <v>Abanicos - Material de promoción de la universidad</v>
      </c>
      <c r="I5" s="10" t="str">
        <f>IF('01_Forms_Raw'!J5="","",'01_Forms_Raw'!J5)</f>
        <v>Abanicos</v>
      </c>
      <c r="J5" s="2">
        <f>IF('01_Forms_Raw'!K5="","",VALUE('01_Forms_Raw'!K5))</f>
        <v>1500</v>
      </c>
      <c r="K5" s="9">
        <f>IF('01_Forms_Raw'!L5="","",'01_Forms_Raw'!L5)</f>
        <v>46324</v>
      </c>
      <c r="L5" s="2" t="str">
        <f>IF('01_Forms_Raw'!M5="","",'01_Forms_Raw'!M5)</f>
        <v>Los abanicos hacen parte de un material de promoción. Todavía no tiene aprobación de Rectoría</v>
      </c>
      <c r="M5" s="10" t="s">
        <v>113</v>
      </c>
      <c r="N5" s="10" t="s">
        <v>114</v>
      </c>
      <c r="O5" s="10" t="str">
        <f t="shared" si="0"/>
        <v>Completa</v>
      </c>
      <c r="P5" s="10">
        <f t="shared" si="1"/>
        <v>70</v>
      </c>
      <c r="Q5" s="2" t="str">
        <f t="shared" si="2"/>
        <v>OK</v>
      </c>
      <c r="R5" s="2" t="str">
        <f t="shared" si="3"/>
        <v>OT-UM-202608-004</v>
      </c>
      <c r="S5" s="10" t="str">
        <f t="shared" si="4"/>
        <v>Sí</v>
      </c>
      <c r="T5" s="10" t="str">
        <f t="shared" si="5"/>
        <v>Lista para OT</v>
      </c>
    </row>
    <row r="6" spans="1:51" ht="42">
      <c r="A6" s="2">
        <f>IF('01_Forms_Raw'!A6="","",'01_Forms_Raw'!A6)</f>
        <v>5</v>
      </c>
      <c r="B6" s="9">
        <f>IF('01_Forms_Raw'!B6="","",'01_Forms_Raw'!B6)</f>
        <v>46167.393900462965</v>
      </c>
      <c r="C6" s="9">
        <f>IF('01_Forms_Raw'!H6="","",'01_Forms_Raw'!H6)</f>
        <v>46153</v>
      </c>
      <c r="D6" s="2" t="str">
        <f>IF('01_Forms_Raw'!D6="","",'01_Forms_Raw'!D6)</f>
        <v>Vicerrectoria</v>
      </c>
      <c r="E6" s="2" t="str">
        <f>IF('01_Forms_Raw'!E6="","",'01_Forms_Raw'!E6)</f>
        <v>Indira Luz de la Rosa</v>
      </c>
      <c r="F6" s="2" t="str">
        <f>IF('01_Forms_Raw'!F6="","",'01_Forms_Raw'!F6)</f>
        <v>Asistente Vicerectoria</v>
      </c>
      <c r="G6" s="2" t="str">
        <f>IF('01_Forms_Raw'!G6="","",'01_Forms_Raw'!G6)</f>
        <v>idelarosa@unimetro.edu.co</v>
      </c>
      <c r="H6" s="2" t="str">
        <f>IF('01_Forms_Raw'!I6="","",'01_Forms_Raw'!I6)</f>
        <v>Actas de Grado</v>
      </c>
      <c r="I6" s="10" t="str">
        <f>IF('01_Forms_Raw'!J6="","",'01_Forms_Raw'!J6)</f>
        <v>Actas de grado</v>
      </c>
      <c r="J6" s="2">
        <f>IF('01_Forms_Raw'!K6="","",VALUE('01_Forms_Raw'!K6))</f>
        <v>1000</v>
      </c>
      <c r="K6" s="9">
        <f>IF('01_Forms_Raw'!L6="","",'01_Forms_Raw'!L6)</f>
        <v>46184</v>
      </c>
      <c r="L6" s="2" t="str">
        <f>IF('01_Forms_Raw'!M6="","",'01_Forms_Raw'!M6)</f>
        <v>Cotizar papel Opalina . Sr Julio Rivera consiguió la cotización de 150 pliegos en Dipaca - distribuidora papelera del caribe.</v>
      </c>
      <c r="M6" s="10" t="s">
        <v>113</v>
      </c>
      <c r="N6" s="10" t="s">
        <v>198</v>
      </c>
      <c r="O6" s="10" t="str">
        <f t="shared" si="0"/>
        <v>Completa</v>
      </c>
      <c r="P6" s="10">
        <f t="shared" si="1"/>
        <v>31</v>
      </c>
      <c r="Q6" s="2" t="str">
        <f t="shared" si="2"/>
        <v>OK</v>
      </c>
      <c r="R6" s="2" t="str">
        <f t="shared" si="3"/>
        <v>OT-UM-202605-005</v>
      </c>
      <c r="S6" s="10" t="str">
        <f t="shared" si="4"/>
        <v>Sí</v>
      </c>
      <c r="T6" s="10" t="str">
        <f t="shared" si="5"/>
        <v>Lista para OT</v>
      </c>
    </row>
    <row r="7" spans="1:51" ht="28">
      <c r="A7" s="2">
        <f>IF('01_Forms_Raw'!A7="","",'01_Forms_Raw'!A7)</f>
        <v>6</v>
      </c>
      <c r="B7" s="9">
        <f>IF('01_Forms_Raw'!B7="","",'01_Forms_Raw'!B7)</f>
        <v>46167.397638888891</v>
      </c>
      <c r="C7" s="9">
        <f>IF('01_Forms_Raw'!H7="","",'01_Forms_Raw'!H7)</f>
        <v>46121</v>
      </c>
      <c r="D7" s="2" t="str">
        <f>IF('01_Forms_Raw'!D7="","",'01_Forms_Raw'!D7)</f>
        <v>Vicerrectoria - Biblioteca</v>
      </c>
      <c r="E7" s="2" t="str">
        <f>IF('01_Forms_Raw'!E7="","",'01_Forms_Raw'!E7)</f>
        <v>Yarima Medrano Nazzer</v>
      </c>
      <c r="F7" s="2" t="str">
        <f>IF('01_Forms_Raw'!F7="","",'01_Forms_Raw'!F7)</f>
        <v>Directora Biblioteca</v>
      </c>
      <c r="G7" s="2" t="str">
        <f>IF('01_Forms_Raw'!G7="","",'01_Forms_Raw'!G7)</f>
        <v>directorabiblioteca@unimetro.edu.co</v>
      </c>
      <c r="H7" s="2" t="str">
        <f>IF('01_Forms_Raw'!I7="","",'01_Forms_Raw'!I7)</f>
        <v>Tarjetas de Prestamo</v>
      </c>
      <c r="I7" s="10" t="str">
        <f>IF('01_Forms_Raw'!J7="","",'01_Forms_Raw'!J7)</f>
        <v>Tarjetas Prestamo Biblioteca</v>
      </c>
      <c r="J7" s="2">
        <f>IF('01_Forms_Raw'!K7="","",VALUE('01_Forms_Raw'!K7))</f>
        <v>5000</v>
      </c>
      <c r="K7" s="9">
        <f>IF('01_Forms_Raw'!L7="","",'01_Forms_Raw'!L7)</f>
        <v>46259</v>
      </c>
      <c r="L7" s="2" t="str">
        <f>IF('01_Forms_Raw'!M7="","",'01_Forms_Raw'!M7)</f>
        <v>Esta solicitud tuvo una demora causada por el material que llego solo hasta el 4 de mayo.</v>
      </c>
      <c r="M7" s="10" t="s">
        <v>113</v>
      </c>
      <c r="N7" s="10" t="s">
        <v>198</v>
      </c>
      <c r="O7" s="10" t="str">
        <f t="shared" si="0"/>
        <v>Completa</v>
      </c>
      <c r="P7" s="10">
        <f t="shared" si="1"/>
        <v>138</v>
      </c>
      <c r="Q7" s="2" t="str">
        <f t="shared" si="2"/>
        <v>OK</v>
      </c>
      <c r="R7" s="2" t="str">
        <f t="shared" si="3"/>
        <v>OT-UM-202604-006</v>
      </c>
      <c r="S7" s="10" t="str">
        <f t="shared" si="4"/>
        <v>Sí</v>
      </c>
      <c r="T7" s="10" t="str">
        <f t="shared" si="5"/>
        <v>Lista para OT</v>
      </c>
    </row>
    <row r="8" spans="1:51" ht="28">
      <c r="A8" s="2">
        <f>IF('01_Forms_Raw'!A8="","",'01_Forms_Raw'!A8)</f>
        <v>7</v>
      </c>
      <c r="B8" s="9">
        <f>IF('01_Forms_Raw'!B8="","",'01_Forms_Raw'!B8)</f>
        <v>46167.410150462965</v>
      </c>
      <c r="C8" s="9">
        <f>IF('01_Forms_Raw'!H8="","",'01_Forms_Raw'!H8)</f>
        <v>46121</v>
      </c>
      <c r="D8" s="2" t="str">
        <f>IF('01_Forms_Raw'!D8="","",'01_Forms_Raw'!D8)</f>
        <v>Vicerrectoria - Biblioteca</v>
      </c>
      <c r="E8" s="2" t="str">
        <f>IF('01_Forms_Raw'!E8="","",'01_Forms_Raw'!E8)</f>
        <v>Yarima Medrano Nazzer</v>
      </c>
      <c r="F8" s="2" t="str">
        <f>IF('01_Forms_Raw'!F8="","",'01_Forms_Raw'!F8)</f>
        <v>Directora Biblioteca</v>
      </c>
      <c r="G8" s="2" t="str">
        <f>IF('01_Forms_Raw'!G8="","",'01_Forms_Raw'!G8)</f>
        <v>directorabiblioteca@unimetro.edu.co</v>
      </c>
      <c r="H8" s="2" t="str">
        <f>IF('01_Forms_Raw'!I8="","",'01_Forms_Raw'!I8)</f>
        <v>Bolsillos de tarjeta de préstamo</v>
      </c>
      <c r="I8" s="10" t="str">
        <f>IF('01_Forms_Raw'!J8="","",'01_Forms_Raw'!J8)</f>
        <v>Bolsillos de tarjeta de préstamo</v>
      </c>
      <c r="J8" s="2">
        <f>IF('01_Forms_Raw'!K8="","",VALUE('01_Forms_Raw'!K8))</f>
        <v>2000</v>
      </c>
      <c r="K8" s="9">
        <f>IF('01_Forms_Raw'!L8="","",'01_Forms_Raw'!L8)</f>
        <v>46259</v>
      </c>
      <c r="L8" s="2" t="str">
        <f>IF('01_Forms_Raw'!M8="","",'01_Forms_Raw'!M8)</f>
        <v>Material pedido en Febrero solo se recepcionó hasta inicios de Mayo.</v>
      </c>
      <c r="M8" s="10" t="s">
        <v>113</v>
      </c>
      <c r="N8" s="10" t="s">
        <v>198</v>
      </c>
      <c r="O8" s="10" t="str">
        <f t="shared" si="0"/>
        <v>Completa</v>
      </c>
      <c r="P8" s="10">
        <f t="shared" si="1"/>
        <v>138</v>
      </c>
      <c r="Q8" s="2" t="str">
        <f t="shared" si="2"/>
        <v>OK</v>
      </c>
      <c r="R8" s="2" t="str">
        <f t="shared" si="3"/>
        <v>OT-UM-202604-007</v>
      </c>
      <c r="S8" s="10" t="str">
        <f t="shared" si="4"/>
        <v>Sí</v>
      </c>
      <c r="T8" s="10" t="str">
        <f t="shared" si="5"/>
        <v>Lista para OT</v>
      </c>
    </row>
    <row r="9" spans="1:51" ht="42">
      <c r="A9" s="2">
        <f>IF('01_Forms_Raw'!A9="","",'01_Forms_Raw'!A9)</f>
        <v>8</v>
      </c>
      <c r="B9" s="9">
        <f>IF('01_Forms_Raw'!B9="","",'01_Forms_Raw'!B9)</f>
        <v>46167.413124999999</v>
      </c>
      <c r="C9" s="9">
        <f>IF('01_Forms_Raw'!H9="","",'01_Forms_Raw'!H9)</f>
        <v>46121</v>
      </c>
      <c r="D9" s="2" t="str">
        <f>IF('01_Forms_Raw'!D9="","",'01_Forms_Raw'!D9)</f>
        <v>Vicerrectoria - Biblioteca</v>
      </c>
      <c r="E9" s="2" t="str">
        <f>IF('01_Forms_Raw'!E9="","",'01_Forms_Raw'!E9)</f>
        <v>Yarima Medrano Nazzer</v>
      </c>
      <c r="F9" s="2" t="str">
        <f>IF('01_Forms_Raw'!F9="","",'01_Forms_Raw'!F9)</f>
        <v>Directora Biblioteca</v>
      </c>
      <c r="G9" s="2" t="str">
        <f>IF('01_Forms_Raw'!G9="","",'01_Forms_Raw'!G9)</f>
        <v>directorabiblioteca@unimetro.edu.co</v>
      </c>
      <c r="H9" s="2" t="str">
        <f>IF('01_Forms_Raw'!I9="","",'01_Forms_Raw'!I9)</f>
        <v>Adhesivos de Colores para categorizar grupos de Libros</v>
      </c>
      <c r="I9" s="10" t="str">
        <f>IF('01_Forms_Raw'!J9="","",'01_Forms_Raw'!J9)</f>
        <v>Adhesivos de Colores</v>
      </c>
      <c r="J9" s="2">
        <f>IF('01_Forms_Raw'!K9="","",VALUE('01_Forms_Raw'!K9))</f>
        <v>1300</v>
      </c>
      <c r="K9" s="9">
        <f>IF('01_Forms_Raw'!L9="","",'01_Forms_Raw'!L9)</f>
        <v>46155</v>
      </c>
      <c r="L9" s="2" t="str">
        <f>IF('01_Forms_Raw'!M9="","",'01_Forms_Raw'!M9)</f>
        <v>Se realizaran adhesivos tamaño carta Amarillo, verde, rosado, gris, azul - 500/200/200/200/200. Se entregaron el 11 de Mayo</v>
      </c>
      <c r="M9" s="10" t="s">
        <v>113</v>
      </c>
      <c r="N9" s="10" t="s">
        <v>198</v>
      </c>
      <c r="O9" s="10" t="str">
        <f t="shared" si="0"/>
        <v>Completa</v>
      </c>
      <c r="P9" s="10">
        <f t="shared" si="1"/>
        <v>34</v>
      </c>
      <c r="Q9" s="2" t="str">
        <f t="shared" si="2"/>
        <v>OK</v>
      </c>
      <c r="R9" s="2" t="str">
        <f t="shared" si="3"/>
        <v>OT-UM-202604-008</v>
      </c>
      <c r="S9" s="10" t="str">
        <f t="shared" si="4"/>
        <v>Sí</v>
      </c>
      <c r="T9" s="10" t="str">
        <f t="shared" si="5"/>
        <v>Lista para OT</v>
      </c>
    </row>
    <row r="10" spans="1:51" ht="42">
      <c r="A10" s="2">
        <f>IF('01_Forms_Raw'!A10="","",'01_Forms_Raw'!A10)</f>
        <v>9</v>
      </c>
      <c r="B10" s="9">
        <f>IF('01_Forms_Raw'!B10="","",'01_Forms_Raw'!B10)</f>
        <v>46177.928634259297</v>
      </c>
      <c r="C10" s="9">
        <f>IF('01_Forms_Raw'!H10="","",'01_Forms_Raw'!H10)</f>
        <v>46170</v>
      </c>
      <c r="D10" s="2" t="str">
        <f>IF('01_Forms_Raw'!D10="","",'01_Forms_Raw'!D10)</f>
        <v>Vicerrectoria - Direccion Administrativa</v>
      </c>
      <c r="E10" s="2" t="str">
        <f>IF('01_Forms_Raw'!E10="","",'01_Forms_Raw'!E10)</f>
        <v>Elio Ortiz</v>
      </c>
      <c r="F10" s="2" t="str">
        <f>IF('01_Forms_Raw'!F10="","",'01_Forms_Raw'!F10)</f>
        <v>Director Administrativo</v>
      </c>
      <c r="G10" s="2" t="str">
        <f>IF('01_Forms_Raw'!G10="","",'01_Forms_Raw'!G10)</f>
        <v>eortizg@unimetro.edu.co</v>
      </c>
      <c r="H10" s="2" t="s">
        <v>325</v>
      </c>
      <c r="I10" s="10" t="str">
        <f>IF('01_Forms_Raw'!J10="","",'01_Forms_Raw'!J10)</f>
        <v>Hojas Membreteadas</v>
      </c>
      <c r="J10" s="2">
        <f>IF('01_Forms_Raw'!K10="","",VALUE('01_Forms_Raw'!K10))</f>
        <v>5000</v>
      </c>
      <c r="K10" s="9">
        <f>IF('01_Forms_Raw'!L10="","",'01_Forms_Raw'!L10)</f>
        <v>46249</v>
      </c>
      <c r="L10" s="2" t="str">
        <f>IF('01_Forms_Raw'!M10="","",'01_Forms_Raw'!M10)</f>
        <v>Se estima que para finalesde junio se debe tener la hojas membretadas para el uso en varias dependencias.</v>
      </c>
      <c r="M10" s="10" t="s">
        <v>113</v>
      </c>
      <c r="N10" s="10" t="s">
        <v>198</v>
      </c>
      <c r="O10" s="10" t="str">
        <f t="shared" si="0"/>
        <v>Completa</v>
      </c>
      <c r="P10" s="10">
        <f t="shared" si="1"/>
        <v>79</v>
      </c>
      <c r="Q10" s="2" t="str">
        <f t="shared" si="2"/>
        <v>OK</v>
      </c>
      <c r="R10" s="2" t="str">
        <f t="shared" si="3"/>
        <v>OT-UM-202605-009</v>
      </c>
      <c r="S10" s="10" t="str">
        <f t="shared" si="4"/>
        <v>Sí</v>
      </c>
      <c r="T10" s="10" t="str">
        <f t="shared" si="5"/>
        <v>Lista para OT</v>
      </c>
    </row>
    <row r="11" spans="1:51" ht="84">
      <c r="A11" s="2">
        <f>IF('01_Forms_Raw'!A11="","",'01_Forms_Raw'!A11)</f>
        <v>10</v>
      </c>
      <c r="B11" s="9">
        <f>IF('01_Forms_Raw'!B11="","",'01_Forms_Raw'!B11)</f>
        <v>46178.649039351803</v>
      </c>
      <c r="C11" s="9">
        <f>IF('01_Forms_Raw'!H11="","",'01_Forms_Raw'!H11)</f>
        <v>46155</v>
      </c>
      <c r="D11" s="2" t="str">
        <f>IF('01_Forms_Raw'!D11="","",'01_Forms_Raw'!D11)</f>
        <v>Rectoria - Alta consejeria</v>
      </c>
      <c r="E11" s="2" t="str">
        <f>IF('01_Forms_Raw'!E11="","",'01_Forms_Raw'!E11)</f>
        <v>Julian Ramirez</v>
      </c>
      <c r="F11" s="2" t="str">
        <f>IF('01_Forms_Raw'!F11="","",'01_Forms_Raw'!F11)</f>
        <v>Coordinador Imprenta UM</v>
      </c>
      <c r="G11" s="2" t="str">
        <f>IF('01_Forms_Raw'!G11="","",'01_Forms_Raw'!G11)</f>
        <v>jramirezo@unimetro.edu.co</v>
      </c>
      <c r="H11" s="2" t="str">
        <f>IF('01_Forms_Raw'!I11="","",'01_Forms_Raw'!I11)</f>
        <v>Individuales para bandejas de plazoleta de comidas</v>
      </c>
      <c r="I11" s="10" t="str">
        <f>IF('01_Forms_Raw'!J11="","",'01_Forms_Raw'!J11)</f>
        <v>Individuales para bandejas</v>
      </c>
      <c r="J11" s="2">
        <f>IF('01_Forms_Raw'!K11="","",VALUE('01_Forms_Raw'!K11))</f>
        <v>3600</v>
      </c>
      <c r="K11" s="9">
        <f>IF('01_Forms_Raw'!L11="","",'01_Forms_Raw'!L11)</f>
        <v>46254</v>
      </c>
      <c r="L11" s="2" t="str">
        <f>IF('01_Forms_Raw'!M11="","",'01_Forms_Raw'!M11)</f>
        <v>Este proyecto  de los individuales para bandejas lo está impulsando la rectoria de la universidad como parte de ¨awarness¨ en lugares externos a UM. Todavia no se tiene claridad el número completo de ejemplares a realizar. Se ingresa el pedido para darle trazabilidad.</v>
      </c>
      <c r="M11" s="10" t="s">
        <v>113</v>
      </c>
      <c r="N11" s="10" t="s">
        <v>198</v>
      </c>
      <c r="O11" s="10" t="str">
        <f t="shared" si="0"/>
        <v>Completa</v>
      </c>
      <c r="P11" s="10">
        <f t="shared" si="1"/>
        <v>99</v>
      </c>
      <c r="Q11" s="2" t="str">
        <f t="shared" si="2"/>
        <v>OK</v>
      </c>
      <c r="R11" s="2" t="str">
        <f t="shared" si="3"/>
        <v>OT-UM-202605-010</v>
      </c>
      <c r="S11" s="10" t="str">
        <f t="shared" si="4"/>
        <v>Sí</v>
      </c>
      <c r="T11" s="10" t="str">
        <f t="shared" si="5"/>
        <v>Lista para OT</v>
      </c>
    </row>
    <row r="12" spans="1:51" ht="84">
      <c r="A12" s="2">
        <f>IF('01_Forms_Raw'!A12="","",'01_Forms_Raw'!A12)</f>
        <v>11</v>
      </c>
      <c r="B12" s="9">
        <f>IF('01_Forms_Raw'!B12="","",'01_Forms_Raw'!B12)</f>
        <v>46182.602511574099</v>
      </c>
      <c r="C12" s="9">
        <f>IF('01_Forms_Raw'!H12="","",'01_Forms_Raw'!H12)</f>
        <v>46185</v>
      </c>
      <c r="D12" s="2" t="str">
        <f>IF('01_Forms_Raw'!D12="","",'01_Forms_Raw'!D12)</f>
        <v>Rectoria - Comunicaciones y Mercadeo</v>
      </c>
      <c r="E12" s="2" t="str">
        <f>IF('01_Forms_Raw'!E12="","",'01_Forms_Raw'!E12)</f>
        <v>Camilo Robledo</v>
      </c>
      <c r="F12" s="2" t="str">
        <f>IF('01_Forms_Raw'!F12="","",'01_Forms_Raw'!F12)</f>
        <v>Coordinador Comunicaciones</v>
      </c>
      <c r="G12" s="2" t="str">
        <f>IF('01_Forms_Raw'!G12="","",'01_Forms_Raw'!G12)</f>
        <v>coordinadordecontenidos@unimetro.edu.co</v>
      </c>
      <c r="H12" s="37" t="str">
        <f>IF('01_Forms_Raw'!I12="","",'01_Forms_Raw'!I12)</f>
        <v xml:space="preserve">Volantes de programas académicos Pregado- Medicina - Nutrición y Dietética </v>
      </c>
      <c r="I12" s="10" t="str">
        <f>IF('01_Forms_Raw'!J12="","",'01_Forms_Raw'!J12)</f>
        <v>Volantes</v>
      </c>
      <c r="J12" s="2">
        <f>IF('01_Forms_Raw'!K12="","",VALUE('01_Forms_Raw'!K12))</f>
        <v>3000</v>
      </c>
      <c r="K12" s="9">
        <f>IF('01_Forms_Raw'!L12="","",'01_Forms_Raw'!L12)</f>
        <v>46295</v>
      </c>
      <c r="L12" s="2" t="str">
        <f>IF('01_Forms_Raw'!M12="","",'01_Forms_Raw'!M12)</f>
        <v>Los volantes de promoción de  los programas académicos se imprimen con policromia completa. Por lo cual require por volante 4 planchas. El departamento de Diseño y Comunicaciones está en proceso de elaboración del diseño.</v>
      </c>
      <c r="M12" s="10" t="s">
        <v>113</v>
      </c>
      <c r="N12" s="10" t="s">
        <v>114</v>
      </c>
      <c r="O12" s="10" t="str">
        <f t="shared" si="0"/>
        <v>Completa</v>
      </c>
      <c r="P12" s="10">
        <f t="shared" si="1"/>
        <v>110</v>
      </c>
      <c r="Q12" s="2" t="str">
        <f t="shared" si="2"/>
        <v>OK</v>
      </c>
      <c r="R12" s="2" t="str">
        <f t="shared" si="3"/>
        <v>OT-UM-202606-011</v>
      </c>
      <c r="S12" s="10" t="str">
        <f t="shared" si="4"/>
        <v>Sí</v>
      </c>
      <c r="T12" s="10" t="str">
        <f t="shared" si="5"/>
        <v>Lista para OT</v>
      </c>
    </row>
    <row r="13" spans="1:51" ht="42">
      <c r="A13" s="2">
        <f>IF('01_Forms_Raw'!A13="","",'01_Forms_Raw'!A13)</f>
        <v>12</v>
      </c>
      <c r="B13" s="9">
        <f>IF('01_Forms_Raw'!B13="","",'01_Forms_Raw'!B13)</f>
        <v>46182.621574074103</v>
      </c>
      <c r="C13" s="9">
        <f>IF('01_Forms_Raw'!H13="","",'01_Forms_Raw'!H13)</f>
        <v>46185</v>
      </c>
      <c r="D13" s="2" t="str">
        <f>IF('01_Forms_Raw'!D13="","",'01_Forms_Raw'!D13)</f>
        <v>Rectoria - Comunicaciones y Mercadeo</v>
      </c>
      <c r="E13" s="2" t="str">
        <f>IF('01_Forms_Raw'!E13="","",'01_Forms_Raw'!E13)</f>
        <v>Camilo Robledo</v>
      </c>
      <c r="F13" s="2" t="str">
        <f>IF('01_Forms_Raw'!F13="","",'01_Forms_Raw'!F13)</f>
        <v>Coordinador Comunicaciones</v>
      </c>
      <c r="G13" s="2" t="str">
        <f>IF('01_Forms_Raw'!G13="","",'01_Forms_Raw'!G13)</f>
        <v>coordinadordecontenidos@unimetro.edu.co</v>
      </c>
      <c r="H13" s="2" t="str">
        <f>IF('01_Forms_Raw'!I13="","",'01_Forms_Raw'!I13)</f>
        <v>Volante progamas Pregrado - Bacteriología-Enfermeria-Fisioterapia- Trabajo Social</v>
      </c>
      <c r="I13" s="10" t="str">
        <f>IF('01_Forms_Raw'!J13="","",'01_Forms_Raw'!J13)</f>
        <v>Volantes</v>
      </c>
      <c r="J13" s="2">
        <f>IF('01_Forms_Raw'!K13="","",VALUE('01_Forms_Raw'!K13))</f>
        <v>4000</v>
      </c>
      <c r="K13" s="9">
        <f>IF('01_Forms_Raw'!L13="","",'01_Forms_Raw'!L13)</f>
        <v>46295</v>
      </c>
      <c r="L13" s="2" t="str">
        <f>IF('01_Forms_Raw'!M13="","",'01_Forms_Raw'!M13)</f>
        <v xml:space="preserve"> De cada programa se requieren 1000 volantes aproximadamente en policromia</v>
      </c>
      <c r="M13" s="10" t="s">
        <v>113</v>
      </c>
      <c r="N13" s="10" t="s">
        <v>114</v>
      </c>
      <c r="O13" s="10" t="str">
        <f t="shared" si="0"/>
        <v>Completa</v>
      </c>
      <c r="P13" s="10">
        <f t="shared" si="1"/>
        <v>110</v>
      </c>
      <c r="Q13" s="2" t="str">
        <f t="shared" si="2"/>
        <v>OK</v>
      </c>
      <c r="R13" s="2" t="str">
        <f t="shared" si="3"/>
        <v>OT-UM-202606-012</v>
      </c>
      <c r="S13" s="10" t="str">
        <f t="shared" si="4"/>
        <v>Sí</v>
      </c>
      <c r="T13" s="10" t="str">
        <f t="shared" si="5"/>
        <v>Lista para OT</v>
      </c>
    </row>
    <row r="14" spans="1:51" ht="42">
      <c r="A14" s="2">
        <f>IF('01_Forms_Raw'!A14="","",'01_Forms_Raw'!A14)</f>
        <v>13</v>
      </c>
      <c r="B14" s="9">
        <f>IF('01_Forms_Raw'!B14="","",'01_Forms_Raw'!B14)</f>
        <v>46184.734803240703</v>
      </c>
      <c r="C14" s="9">
        <f>IF('01_Forms_Raw'!H14="","",'01_Forms_Raw'!H14)</f>
        <v>46185</v>
      </c>
      <c r="D14" s="2" t="str">
        <f>IF('01_Forms_Raw'!D14="","",'01_Forms_Raw'!D14)</f>
        <v>Rectoria - Comunicaciones y Mercadeo</v>
      </c>
      <c r="E14" s="2" t="str">
        <f>IF('01_Forms_Raw'!E14="","",'01_Forms_Raw'!E14)</f>
        <v>Camilo Robledo</v>
      </c>
      <c r="F14" s="2" t="str">
        <f>IF('01_Forms_Raw'!F14="","",'01_Forms_Raw'!F14)</f>
        <v>Coordinador Comunicaciones</v>
      </c>
      <c r="G14" s="2" t="str">
        <f>IF('01_Forms_Raw'!G14="","",'01_Forms_Raw'!G14)</f>
        <v>coordinadordecontenidos@unimetro.edu.co</v>
      </c>
      <c r="H14" s="2" t="str">
        <f>IF('01_Forms_Raw'!I14="","",'01_Forms_Raw'!I14)</f>
        <v>Volante programas pregrado - Odontología - Optometría - Psicología - Terapia Ocupacional</v>
      </c>
      <c r="I14" s="10" t="str">
        <f>IF('01_Forms_Raw'!J14="","",'01_Forms_Raw'!J14)</f>
        <v>Volantes</v>
      </c>
      <c r="J14" s="2">
        <f>IF('01_Forms_Raw'!K14="","",VALUE('01_Forms_Raw'!K14))</f>
        <v>4000</v>
      </c>
      <c r="K14" s="9">
        <f>IF('01_Forms_Raw'!L14="","",'01_Forms_Raw'!L14)</f>
        <v>46295</v>
      </c>
      <c r="L14" s="2" t="str">
        <f>IF('01_Forms_Raw'!M14="","",'01_Forms_Raw'!M14)</f>
        <v xml:space="preserve"> De cada programa se requieren 1000 volantes aproximadamente en  policromia</v>
      </c>
      <c r="M14" s="10" t="s">
        <v>113</v>
      </c>
      <c r="N14" s="10" t="s">
        <v>114</v>
      </c>
      <c r="O14" s="10" t="str">
        <f t="shared" si="0"/>
        <v>Completa</v>
      </c>
      <c r="P14" s="10">
        <f t="shared" si="1"/>
        <v>110</v>
      </c>
      <c r="Q14" s="2" t="str">
        <f t="shared" si="2"/>
        <v>OK</v>
      </c>
      <c r="R14" s="2" t="str">
        <f t="shared" si="3"/>
        <v>OT-UM-202606-013</v>
      </c>
      <c r="S14" s="10" t="str">
        <f t="shared" si="4"/>
        <v>Sí</v>
      </c>
      <c r="T14" s="10" t="str">
        <f t="shared" si="5"/>
        <v>Lista para OT</v>
      </c>
    </row>
    <row r="15" spans="1:51" ht="25.5" customHeight="1">
      <c r="A15" s="2">
        <f>IF('01_Forms_Raw'!A15="","",'01_Forms_Raw'!A15)</f>
        <v>14</v>
      </c>
      <c r="B15" s="9">
        <f>IF('01_Forms_Raw'!B15="","",'01_Forms_Raw'!B15)</f>
        <v>46164.690138888887</v>
      </c>
      <c r="C15" s="9">
        <f>IF('01_Forms_Raw'!H15="","",'01_Forms_Raw'!H15)</f>
        <v>46200</v>
      </c>
      <c r="D15" s="2" t="str">
        <f>IF('01_Forms_Raw'!D15="","",'01_Forms_Raw'!D15)</f>
        <v>Vicerrectoria</v>
      </c>
      <c r="E15" s="2" t="str">
        <f>IF('01_Forms_Raw'!E15="","",'01_Forms_Raw'!E15)</f>
        <v>Jose Luis Castro Guerra</v>
      </c>
      <c r="F15" s="2" t="str">
        <f>IF('01_Forms_Raw'!F15="","",'01_Forms_Raw'!F15)</f>
        <v>Vicerrector</v>
      </c>
      <c r="G15" s="2" t="str">
        <f>IF('01_Forms_Raw'!G15="","",'01_Forms_Raw'!G15)</f>
        <v>vice-rectoria@unimetro.edu.co</v>
      </c>
      <c r="H15" s="2" t="str">
        <f>IF('01_Forms_Raw'!I15="","",'01_Forms_Raw'!I15)</f>
        <v>Agendas  - 2ndo lote de 500 unidades para 30Sep</v>
      </c>
      <c r="I15" s="10" t="str">
        <f>IF('01_Forms_Raw'!J15="","",'01_Forms_Raw'!J15)</f>
        <v>Agendas</v>
      </c>
      <c r="J15" s="2">
        <f>IF('01_Forms_Raw'!K15="","",VALUE('01_Forms_Raw'!K15))</f>
        <v>500</v>
      </c>
      <c r="K15" s="9">
        <f>IF('01_Forms_Raw'!L15="","",'01_Forms_Raw'!L15)</f>
        <v>46310</v>
      </c>
      <c r="L15" s="2" t="str">
        <f>IF('01_Forms_Raw'!M15="","",'01_Forms_Raw'!M15)</f>
        <v>Se divide el pedido inicial de1000 agendas en 2 etapas. 500 para inicio 2nd semestre de 2026 y las otras 500 para finales de Noviembre para suplir la necesidad de 1er semestre de 2027</v>
      </c>
      <c r="M15" s="10" t="s">
        <v>191</v>
      </c>
      <c r="N15" s="10" t="s">
        <v>198</v>
      </c>
      <c r="O15" s="10" t="str">
        <f t="shared" si="0"/>
        <v>Completa</v>
      </c>
      <c r="P15" s="10">
        <f t="shared" si="1"/>
        <v>110</v>
      </c>
      <c r="Q15" s="2" t="str">
        <f t="shared" si="2"/>
        <v>OK</v>
      </c>
      <c r="R15" s="2" t="str">
        <f t="shared" si="3"/>
        <v>OT-UM-202606-014</v>
      </c>
      <c r="S15" s="10" t="str">
        <f t="shared" si="4"/>
        <v>Sí</v>
      </c>
      <c r="T15" s="10" t="str">
        <f t="shared" si="5"/>
        <v>Lista para OT</v>
      </c>
    </row>
    <row r="16" spans="1:51" s="28" customFormat="1" ht="70">
      <c r="A16" s="26">
        <f>IF('01_Forms_Raw'!A16="","",'01_Forms_Raw'!A16)</f>
        <v>15</v>
      </c>
      <c r="B16" s="39">
        <f>IF('01_Forms_Raw'!B16="","",'01_Forms_Raw'!B16)</f>
        <v>46233.62222222222</v>
      </c>
      <c r="C16" s="39">
        <f>IF('01_Forms_Raw'!H16="","",'01_Forms_Raw'!H16)</f>
        <v>46267</v>
      </c>
      <c r="D16" s="26" t="str">
        <f>IF('01_Forms_Raw'!D16="","",'01_Forms_Raw'!D16)</f>
        <v>Rectoria - Alta consejeria</v>
      </c>
      <c r="E16" s="26" t="str">
        <f>IF('01_Forms_Raw'!E16="","",'01_Forms_Raw'!E16)</f>
        <v>Camilo Robledo</v>
      </c>
      <c r="F16" s="26" t="str">
        <f>IF('01_Forms_Raw'!F16="","",'01_Forms_Raw'!F16)</f>
        <v>Coordinador Comunicaciones</v>
      </c>
      <c r="G16" s="26" t="str">
        <f>IF('01_Forms_Raw'!G16="","",'01_Forms_Raw'!G16)</f>
        <v>coordinadordecontenidos@unimetro.edu.co</v>
      </c>
      <c r="H16" s="26" t="str">
        <f>IF('01_Forms_Raw'!I16="","",'01_Forms_Raw'!I16)</f>
        <v>Calendario 2027</v>
      </c>
      <c r="I16" s="25" t="str">
        <f>IF('01_Forms_Raw'!J16="","",'01_Forms_Raw'!J16)</f>
        <v>Calendarios</v>
      </c>
      <c r="J16" s="26">
        <f>IF('01_Forms_Raw'!K16="","",VALUE('01_Forms_Raw'!K16))</f>
        <v>4000</v>
      </c>
      <c r="K16" s="39">
        <f>IF('01_Forms_Raw'!L16="","",'01_Forms_Raw'!L16)</f>
        <v>46326</v>
      </c>
      <c r="L16" s="26" t="str">
        <f>IF('01_Forms_Raw'!M16="","",'01_Forms_Raw'!M16)</f>
        <v>Los Calendarios hacen parte la marca instutucional de la universidad. El diseño debe iniciarse desde 1ero de Agosto para que la Imprenta inicie la impresión a mas tardar el 1ero de Octubre.</v>
      </c>
      <c r="M16" s="25" t="s">
        <v>191</v>
      </c>
      <c r="N16" s="25" t="s">
        <v>114</v>
      </c>
      <c r="O16" s="25" t="str">
        <f t="shared" si="0"/>
        <v>Completa</v>
      </c>
      <c r="P16" s="25">
        <f t="shared" si="1"/>
        <v>59</v>
      </c>
      <c r="Q16" s="26" t="str">
        <f t="shared" si="2"/>
        <v>OK</v>
      </c>
      <c r="R16" s="26" t="str">
        <f t="shared" si="3"/>
        <v>OT-UM-202609-015</v>
      </c>
      <c r="S16" s="25" t="str">
        <f t="shared" si="4"/>
        <v>Sí</v>
      </c>
      <c r="T16" s="25" t="str">
        <f t="shared" si="5"/>
        <v>Lista para OT</v>
      </c>
    </row>
    <row r="17" spans="1:20" ht="56">
      <c r="A17" s="2">
        <f>IF('01_Forms_Raw'!A17="","",'01_Forms_Raw'!A17)</f>
        <v>16</v>
      </c>
      <c r="B17" s="9">
        <f>IF('01_Forms_Raw'!B17="","",'01_Forms_Raw'!B17)</f>
        <v>46238</v>
      </c>
      <c r="C17" s="9">
        <f>IF('01_Forms_Raw'!H17="","",'01_Forms_Raw'!H17)</f>
        <v>46238</v>
      </c>
      <c r="D17" s="2" t="str">
        <f>IF('01_Forms_Raw'!D17="","",'01_Forms_Raw'!D17)</f>
        <v>Vicerrectoria - Direccion de bienestar universitario</v>
      </c>
      <c r="E17" s="2" t="str">
        <f>IF('01_Forms_Raw'!E17="","",'01_Forms_Raw'!E17)</f>
        <v>Katty Aguas Gamarra</v>
      </c>
      <c r="F17" s="2" t="str">
        <f>IF('01_Forms_Raw'!F17="","",'01_Forms_Raw'!F17)</f>
        <v>Coordinadora de Desarrollo Humano</v>
      </c>
      <c r="G17" s="2" t="str">
        <f>IF('01_Forms_Raw'!G17="","",'01_Forms_Raw'!G17)</f>
        <v>desarrollohumano@unimetro.edu.co</v>
      </c>
      <c r="H17" s="2" t="str">
        <f>IF('01_Forms_Raw'!I17="","",'01_Forms_Raw'!I17)</f>
        <v>ACTUALIZACION DE FOLLETO DE SALUD MENTAL</v>
      </c>
      <c r="I17" s="10" t="str">
        <f>IF('01_Forms_Raw'!J17="","",'01_Forms_Raw'!J17)</f>
        <v>Folletos</v>
      </c>
      <c r="J17" s="2">
        <f>IF('01_Forms_Raw'!K17="","",VALUE('01_Forms_Raw'!K17))</f>
        <v>2000</v>
      </c>
      <c r="K17" s="39">
        <f>IF('01_Forms_Raw'!L17="","",'01_Forms_Raw'!L17)</f>
        <v>46275</v>
      </c>
      <c r="L17" s="2" t="str">
        <f>IF('01_Forms_Raw'!M17="","",'01_Forms_Raw'!M17)</f>
        <v>El diseño fue enviado a su correo institucional.</v>
      </c>
      <c r="M17" s="10" t="s">
        <v>191</v>
      </c>
      <c r="N17" s="10" t="s">
        <v>187</v>
      </c>
      <c r="O17" s="10" t="str">
        <f t="shared" si="0"/>
        <v>Completa</v>
      </c>
      <c r="P17" s="10">
        <f t="shared" si="1"/>
        <v>37</v>
      </c>
      <c r="Q17" s="2" t="str">
        <f t="shared" si="2"/>
        <v>OK</v>
      </c>
      <c r="R17" s="2" t="str">
        <f t="shared" si="3"/>
        <v>OT-UM-202608-016</v>
      </c>
      <c r="S17" s="10" t="str">
        <f t="shared" si="4"/>
        <v>Sí</v>
      </c>
      <c r="T17" s="10" t="str">
        <f t="shared" si="5"/>
        <v>Lista para OT</v>
      </c>
    </row>
    <row r="18" spans="1:20" s="28" customFormat="1" ht="70">
      <c r="A18" s="26">
        <f>IF('01_Forms_Raw'!A18="","",'01_Forms_Raw'!A18)</f>
        <v>17</v>
      </c>
      <c r="B18" s="39">
        <f>IF('01_Forms_Raw'!B18="","",'01_Forms_Raw'!B18)</f>
        <v>46238</v>
      </c>
      <c r="C18" s="39">
        <f>IF('01_Forms_Raw'!H18="","",'01_Forms_Raw'!H18)</f>
        <v>46238</v>
      </c>
      <c r="D18" s="26" t="str">
        <f>IF('01_Forms_Raw'!D18="","",'01_Forms_Raw'!D18)</f>
        <v>Rectoria - Comunicaciones y Mercadeo</v>
      </c>
      <c r="E18" s="26" t="str">
        <f>IF('01_Forms_Raw'!E18="","",'01_Forms_Raw'!E18)</f>
        <v>Julio Higgins</v>
      </c>
      <c r="F18" s="26" t="str">
        <f>IF('01_Forms_Raw'!F18="","",'01_Forms_Raw'!F18)</f>
        <v>Relaciones Publicas</v>
      </c>
      <c r="G18" s="26" t="str">
        <f>IF('01_Forms_Raw'!G18="","",'01_Forms_Raw'!G18)</f>
        <v>relacionespublicas@unimetro.edu.co</v>
      </c>
      <c r="H18" s="26" t="str">
        <f>IF('01_Forms_Raw'!I18="","",'01_Forms_Raw'!I18)</f>
        <v>Volantes Pregrado y Postgrado Unimetro</v>
      </c>
      <c r="I18" s="25" t="str">
        <f>IF('01_Forms_Raw'!J18="","",'01_Forms_Raw'!J18)</f>
        <v>Volantes</v>
      </c>
      <c r="J18" s="26">
        <f>IF('01_Forms_Raw'!K18="","",VALUE('01_Forms_Raw'!K18))</f>
        <v>500</v>
      </c>
      <c r="K18" s="39">
        <f>IF('01_Forms_Raw'!L18="","",'01_Forms_Raw'!L18)</f>
        <v>46239</v>
      </c>
      <c r="L18" s="26" t="str">
        <f>IF('01_Forms_Raw'!M18="","",'01_Forms_Raw'!M18)</f>
        <v>Se utilizará el diseño anterior que contaba con 10 programas de pre y post grado. Se recomienda al departamento de comunicaciones y mercadeo realizar un nuevo diseño para el próximo batch</v>
      </c>
      <c r="M18" s="25" t="s">
        <v>167</v>
      </c>
      <c r="N18" s="25" t="s">
        <v>198</v>
      </c>
      <c r="O18" s="25" t="str">
        <f t="shared" si="0"/>
        <v>Completa</v>
      </c>
      <c r="P18" s="25">
        <f t="shared" si="1"/>
        <v>1</v>
      </c>
      <c r="Q18" s="26" t="str">
        <f t="shared" si="2"/>
        <v>Riesgo SLA</v>
      </c>
      <c r="R18" s="26" t="str">
        <f t="shared" si="3"/>
        <v>OT-UM-202608-017</v>
      </c>
      <c r="S18" s="25" t="str">
        <f t="shared" si="4"/>
        <v>Sí</v>
      </c>
      <c r="T18" s="25" t="str">
        <f t="shared" si="5"/>
        <v>Lista para OT</v>
      </c>
    </row>
    <row r="19" spans="1:20" ht="56">
      <c r="A19" s="2">
        <f>IF('01_Forms_Raw'!A19="","",'01_Forms_Raw'!A19)</f>
        <v>18</v>
      </c>
      <c r="B19" s="9">
        <f>IF('01_Forms_Raw'!B19="","",'01_Forms_Raw'!B19)</f>
        <v>46238</v>
      </c>
      <c r="C19" s="9">
        <f>IF('01_Forms_Raw'!H19="","",'01_Forms_Raw'!H19)</f>
        <v>46238</v>
      </c>
      <c r="D19" s="2" t="str">
        <f>IF('01_Forms_Raw'!D19="","",'01_Forms_Raw'!D19)</f>
        <v>Vicerrectoria - Direccion de bienestar universitario</v>
      </c>
      <c r="E19" s="2" t="str">
        <f>IF('01_Forms_Raw'!E19="","",'01_Forms_Raw'!E19)</f>
        <v>Katty Aguas Gamarra</v>
      </c>
      <c r="F19" s="2" t="str">
        <f>IF('01_Forms_Raw'!F19="","",'01_Forms_Raw'!F19)</f>
        <v>Coordinadora de Desarrollo Humano</v>
      </c>
      <c r="G19" s="2" t="str">
        <f>IF('01_Forms_Raw'!G19="","",'01_Forms_Raw'!G19)</f>
        <v>desarrollohumano@unimetro.edu.co</v>
      </c>
      <c r="H19" s="2" t="str">
        <f>IF('01_Forms_Raw'!I19="","",'01_Forms_Raw'!I19)</f>
        <v>ACTUALIZACION DE FOLLETO DE LOS SERVICIOS DE BIENESTAR UNIVERSITARIO</v>
      </c>
      <c r="I19" s="10" t="str">
        <f>IF('01_Forms_Raw'!J19="","",'01_Forms_Raw'!J19)</f>
        <v>Folletos</v>
      </c>
      <c r="J19" s="2">
        <f>IF('01_Forms_Raw'!K19="","",VALUE('01_Forms_Raw'!K19))</f>
        <v>2000</v>
      </c>
      <c r="K19" s="39">
        <f>IF('01_Forms_Raw'!L19="","",'01_Forms_Raw'!L19)</f>
        <v>46296</v>
      </c>
      <c r="L19" s="2" t="str">
        <f>IF('01_Forms_Raw'!M19="","",'01_Forms_Raw'!M19)</f>
        <v>El diseño fue enviado a su correo institucional.</v>
      </c>
      <c r="M19" s="10" t="s">
        <v>191</v>
      </c>
      <c r="N19" s="10" t="s">
        <v>187</v>
      </c>
      <c r="O19" s="10" t="str">
        <f t="shared" si="0"/>
        <v>Completa</v>
      </c>
      <c r="P19" s="10">
        <f t="shared" si="1"/>
        <v>58</v>
      </c>
      <c r="Q19" s="2" t="str">
        <f t="shared" si="2"/>
        <v>OK</v>
      </c>
      <c r="R19" s="2" t="str">
        <f t="shared" si="3"/>
        <v>OT-UM-202608-018</v>
      </c>
      <c r="S19" s="10" t="str">
        <f t="shared" si="4"/>
        <v>Sí</v>
      </c>
      <c r="T19" s="10" t="str">
        <f t="shared" si="5"/>
        <v>Lista para OT</v>
      </c>
    </row>
    <row r="20" spans="1:20" ht="98">
      <c r="A20" s="2">
        <f>IF('01_Forms_Raw'!A20="","",'01_Forms_Raw'!A20)</f>
        <v>19</v>
      </c>
      <c r="B20" s="9">
        <f>IF('01_Forms_Raw'!B20="","",'01_Forms_Raw'!B20)</f>
        <v>46245</v>
      </c>
      <c r="C20" s="9">
        <f>IF('01_Forms_Raw'!H20="","",'01_Forms_Raw'!H20)</f>
        <v>46245</v>
      </c>
      <c r="D20" s="2" t="str">
        <f>IF('01_Forms_Raw'!D20="","",'01_Forms_Raw'!D20)</f>
        <v>Rectoria - Comunicaciones y Mercadeo</v>
      </c>
      <c r="E20" s="2" t="str">
        <f>IF('01_Forms_Raw'!E20="","",'01_Forms_Raw'!E20)</f>
        <v>Julio Higgins</v>
      </c>
      <c r="F20" s="2" t="str">
        <f>IF('01_Forms_Raw'!F20="","",'01_Forms_Raw'!F20)</f>
        <v>Relaciones Publicas</v>
      </c>
      <c r="G20" s="2" t="str">
        <f>IF('01_Forms_Raw'!G20="","",'01_Forms_Raw'!G20)</f>
        <v>relacionespublicas@unimetro.edu.co</v>
      </c>
      <c r="H20" s="2" t="str">
        <f>IF('01_Forms_Raw'!I20="","",'01_Forms_Raw'!I20)</f>
        <v>Volantes QR Pregrado y Postgrado Actualizado Unimetro</v>
      </c>
      <c r="I20" s="10" t="str">
        <f>IF('01_Forms_Raw'!J20="","",'01_Forms_Raw'!J20)</f>
        <v>Volantes</v>
      </c>
      <c r="J20" s="2">
        <f>IF('01_Forms_Raw'!K20="","",VALUE('01_Forms_Raw'!K20))</f>
        <v>2000</v>
      </c>
      <c r="K20" s="39">
        <f>IF('01_Forms_Raw'!L20="","",'01_Forms_Raw'!L20)</f>
        <v>46295</v>
      </c>
      <c r="L20" s="2" t="str">
        <f>IF('01_Forms_Raw'!M20="","",'01_Forms_Raw'!M20)</f>
        <v>Se aprobó una nueva versión del volante infomativo de las carreras, Este volante informativo se requiere para todo el año, es decir, una buena cantidad de ejemplares se requieren. Para H2 se harán 3000 y se esperan complementar con los dedicados a cada programa</v>
      </c>
      <c r="M20" s="10" t="s">
        <v>191</v>
      </c>
      <c r="N20" s="10" t="s">
        <v>198</v>
      </c>
      <c r="O20" s="10" t="str">
        <f t="shared" si="0"/>
        <v>Completa</v>
      </c>
      <c r="P20" s="10">
        <f t="shared" si="1"/>
        <v>50</v>
      </c>
      <c r="Q20" s="2" t="str">
        <f t="shared" si="2"/>
        <v>OK</v>
      </c>
      <c r="R20" s="2" t="str">
        <f t="shared" si="3"/>
        <v>OT-UM-202608-019</v>
      </c>
      <c r="S20" s="10" t="str">
        <f t="shared" si="4"/>
        <v>Sí</v>
      </c>
      <c r="T20" s="10" t="str">
        <f t="shared" si="5"/>
        <v>Lista para OT</v>
      </c>
    </row>
    <row r="21" spans="1:20" ht="42">
      <c r="A21" s="2">
        <f>IF('01_Forms_Raw'!A21="","",'01_Forms_Raw'!A21)</f>
        <v>20</v>
      </c>
      <c r="B21" s="9">
        <f>IF('01_Forms_Raw'!B21="","",'01_Forms_Raw'!B21)</f>
        <v>46259</v>
      </c>
      <c r="C21" s="9">
        <f>IF('01_Forms_Raw'!H21="","",'01_Forms_Raw'!H21)</f>
        <v>46259</v>
      </c>
      <c r="D21" s="2" t="str">
        <f>IF('01_Forms_Raw'!D21="","",'01_Forms_Raw'!D21)</f>
        <v xml:space="preserve">Rectoria </v>
      </c>
      <c r="E21" s="2" t="str">
        <f>IF('01_Forms_Raw'!E21="","",'01_Forms_Raw'!E21)</f>
        <v>Lidia Cala</v>
      </c>
      <c r="F21" s="2" t="str">
        <f>IF('01_Forms_Raw'!F21="","",'01_Forms_Raw'!F21)</f>
        <v>Secretaria</v>
      </c>
      <c r="G21" s="2" t="str">
        <f>IF('01_Forms_Raw'!G21="","",'01_Forms_Raw'!G21)</f>
        <v>rectoriaunimetro@unimetro.edu.co</v>
      </c>
      <c r="H21" s="2" t="str">
        <f>IF('01_Forms_Raw'!I21="","",'01_Forms_Raw'!I21)</f>
        <v>Miniblocks - pieza uso interno unimetro</v>
      </c>
      <c r="I21" s="10" t="str">
        <f>IF('01_Forms_Raw'!J21="","",'01_Forms_Raw'!J21)</f>
        <v>MiniBlocks</v>
      </c>
      <c r="J21" s="2">
        <f>IF('01_Forms_Raw'!K21="","",VALUE('01_Forms_Raw'!K21))</f>
        <v>1000</v>
      </c>
      <c r="K21" s="39">
        <f>IF('01_Forms_Raw'!L21="","",'01_Forms_Raw'!L21)</f>
        <v>46295</v>
      </c>
      <c r="L21" s="2" t="str">
        <f>IF('01_Forms_Raw'!M21="","",'01_Forms_Raw'!M21)</f>
        <v>Se requieren 1000 unidades de miniblocks.Se utizará material del inventario de la Imprenta UM que se replazará con material del pedido#016</v>
      </c>
      <c r="M21" s="10" t="s">
        <v>191</v>
      </c>
      <c r="N21" s="10" t="s">
        <v>198</v>
      </c>
      <c r="O21" s="10" t="str">
        <f t="shared" si="0"/>
        <v>Completa</v>
      </c>
      <c r="P21" s="10">
        <f t="shared" si="1"/>
        <v>36</v>
      </c>
      <c r="Q21" s="2" t="str">
        <f t="shared" si="2"/>
        <v>OK</v>
      </c>
      <c r="R21" s="2" t="str">
        <f t="shared" si="3"/>
        <v>OT-UM-202608-020</v>
      </c>
      <c r="S21" s="10" t="str">
        <f t="shared" si="4"/>
        <v>Sí</v>
      </c>
      <c r="T21" s="10" t="str">
        <f t="shared" si="5"/>
        <v>Lista para OT</v>
      </c>
    </row>
    <row r="22" spans="1:20" ht="56">
      <c r="A22" s="2">
        <f>IF('01_Forms_Raw'!A22="","",'01_Forms_Raw'!A22)</f>
        <v>21</v>
      </c>
      <c r="B22" s="9">
        <f>IF('01_Forms_Raw'!B22="","",'01_Forms_Raw'!B22)</f>
        <v>46260</v>
      </c>
      <c r="C22" s="9">
        <f>IF('01_Forms_Raw'!H22="","",'01_Forms_Raw'!H22)</f>
        <v>46260</v>
      </c>
      <c r="D22" s="2" t="str">
        <f>IF('01_Forms_Raw'!D22="","",'01_Forms_Raw'!D22)</f>
        <v>Vicerrectoria - Direccion de bienestar universitario</v>
      </c>
      <c r="E22" s="2" t="str">
        <f>IF('01_Forms_Raw'!E22="","",'01_Forms_Raw'!E22)</f>
        <v>Katty Aguas Gamarra</v>
      </c>
      <c r="F22" s="2" t="str">
        <f>IF('01_Forms_Raw'!F22="","",'01_Forms_Raw'!F22)</f>
        <v>Coordinadora de Desarrollo Humano</v>
      </c>
      <c r="G22" s="2" t="str">
        <f>IF('01_Forms_Raw'!G22="","",'01_Forms_Raw'!G22)</f>
        <v>desarrollohumano@unimetro.edu.co</v>
      </c>
      <c r="H22" s="2" t="str">
        <f>IF('01_Forms_Raw'!I22="","",'01_Forms_Raw'!I22)</f>
        <v>Separadores de libros sobre salud mental</v>
      </c>
      <c r="I22" s="10" t="str">
        <f>IF('01_Forms_Raw'!J22="","",'01_Forms_Raw'!J22)</f>
        <v>Separadores de libros</v>
      </c>
      <c r="J22" s="2">
        <f>IF('01_Forms_Raw'!K22="","",VALUE('01_Forms_Raw'!K22))</f>
        <v>1000</v>
      </c>
      <c r="K22" s="39">
        <f>IF('01_Forms_Raw'!L22="","",'01_Forms_Raw'!L22)</f>
        <v>46274</v>
      </c>
      <c r="L22" s="2" t="str">
        <f>IF('01_Forms_Raw'!M22="","",'01_Forms_Raw'!M22)</f>
        <v>Estos separadores se entregarán el dia 10 de septiembre en actividad masiva sobre prevención del suicidio.</v>
      </c>
      <c r="M22" s="10" t="s">
        <v>191</v>
      </c>
      <c r="N22" s="10" t="s">
        <v>198</v>
      </c>
      <c r="O22" s="10" t="str">
        <f t="shared" si="0"/>
        <v>Completa</v>
      </c>
      <c r="P22" s="10">
        <f t="shared" si="1"/>
        <v>14</v>
      </c>
      <c r="Q22" s="2" t="str">
        <f t="shared" si="2"/>
        <v>OK</v>
      </c>
      <c r="R22" s="2" t="str">
        <f t="shared" si="3"/>
        <v>OT-UM-202608-021</v>
      </c>
      <c r="S22" s="10" t="str">
        <f t="shared" si="4"/>
        <v>Sí</v>
      </c>
      <c r="T22" s="10" t="str">
        <f t="shared" si="5"/>
        <v>Lista para OT</v>
      </c>
    </row>
    <row r="23" spans="1:20" ht="28">
      <c r="A23" s="2">
        <f>IF('01_Forms_Raw'!A23="","",'01_Forms_Raw'!A23)</f>
        <v>22</v>
      </c>
      <c r="B23" s="9">
        <f>IF('01_Forms_Raw'!B23="","",'01_Forms_Raw'!B23)</f>
        <v>46274</v>
      </c>
      <c r="C23" s="9">
        <f>IF('01_Forms_Raw'!H23="","",'01_Forms_Raw'!H23)</f>
        <v>46272</v>
      </c>
      <c r="D23" s="2" t="str">
        <f>IF('01_Forms_Raw'!D23="","",'01_Forms_Raw'!D23)</f>
        <v>Rectoria</v>
      </c>
      <c r="E23" s="2" t="str">
        <f>IF('01_Forms_Raw'!E23="","",'01_Forms_Raw'!E23)</f>
        <v>Lidia Cala</v>
      </c>
      <c r="F23" s="2" t="str">
        <f>IF('01_Forms_Raw'!F23="","",'01_Forms_Raw'!F23)</f>
        <v>Secretaria Rectoria</v>
      </c>
      <c r="G23" s="2" t="str">
        <f>IF('01_Forms_Raw'!G23="","",'01_Forms_Raw'!G23)</f>
        <v>rectoriaunimetro@unimetro.edu.co</v>
      </c>
      <c r="H23" s="2" t="str">
        <f>IF('01_Forms_Raw'!I23="","",'01_Forms_Raw'!I23)</f>
        <v>Agendas- 3er lote de 500 agendas para 30 Oct</v>
      </c>
      <c r="I23" s="10" t="str">
        <f>IF('01_Forms_Raw'!J23="","",'01_Forms_Raw'!J23)</f>
        <v>Agendas</v>
      </c>
      <c r="J23" s="2">
        <f>IF('01_Forms_Raw'!K23="","",VALUE('01_Forms_Raw'!K23))</f>
        <v>500</v>
      </c>
      <c r="K23" s="39">
        <f>IF('01_Forms_Raw'!L23="","",'01_Forms_Raw'!L23)</f>
        <v>46325</v>
      </c>
      <c r="L23" s="2" t="str">
        <f>IF('01_Forms_Raw'!M23="","",'01_Forms_Raw'!M23)</f>
        <v>3er Lote se entregará el 30 de Oct</v>
      </c>
      <c r="M23" s="10" t="s">
        <v>191</v>
      </c>
      <c r="N23" s="10" t="s">
        <v>198</v>
      </c>
      <c r="O23" s="10" t="str">
        <f t="shared" si="0"/>
        <v>Completa</v>
      </c>
      <c r="P23" s="10">
        <f t="shared" si="1"/>
        <v>53</v>
      </c>
      <c r="Q23" s="2" t="str">
        <f t="shared" si="2"/>
        <v>OK</v>
      </c>
      <c r="R23" s="2" t="str">
        <f t="shared" si="3"/>
        <v>OT-UM-202609-022</v>
      </c>
      <c r="S23" s="10" t="str">
        <f t="shared" si="4"/>
        <v>Sí</v>
      </c>
      <c r="T23" s="10" t="str">
        <f t="shared" si="5"/>
        <v>Lista para OT</v>
      </c>
    </row>
    <row r="24" spans="1:20" ht="42">
      <c r="A24" s="2">
        <f>IF('01_Forms_Raw'!A24="","",'01_Forms_Raw'!A24)</f>
        <v>23</v>
      </c>
      <c r="B24" s="9">
        <f>IF('01_Forms_Raw'!B24="","",'01_Forms_Raw'!B24)</f>
        <v>46274.70416666667</v>
      </c>
      <c r="C24" s="9">
        <f>IF('01_Forms_Raw'!H24="","",'01_Forms_Raw'!H24)</f>
        <v>46272</v>
      </c>
      <c r="D24" s="2" t="str">
        <f>IF('01_Forms_Raw'!D24="","",'01_Forms_Raw'!D24)</f>
        <v>Rectoria</v>
      </c>
      <c r="E24" s="2" t="str">
        <f>IF('01_Forms_Raw'!E24="","",'01_Forms_Raw'!E24)</f>
        <v>Lidia Cala</v>
      </c>
      <c r="F24" s="2" t="str">
        <f>IF('01_Forms_Raw'!F24="","",'01_Forms_Raw'!F24)</f>
        <v>Secretaria Rectoria</v>
      </c>
      <c r="G24" s="2" t="str">
        <f>IF('01_Forms_Raw'!G24="","",'01_Forms_Raw'!G24)</f>
        <v>rectoriaunimetro@unimetro.edu.co</v>
      </c>
      <c r="H24" s="2" t="str">
        <f>IF('01_Forms_Raw'!I24="","",'01_Forms_Raw'!I24)</f>
        <v>Agendas- 4to lote de 500 agendas para 30 Nov</v>
      </c>
      <c r="I24" s="10" t="str">
        <f>IF('01_Forms_Raw'!J24="","",'01_Forms_Raw'!J24)</f>
        <v>Agendas</v>
      </c>
      <c r="J24" s="2">
        <f>IF('01_Forms_Raw'!K24="","",VALUE('01_Forms_Raw'!K24))</f>
        <v>500</v>
      </c>
      <c r="K24" s="39">
        <f>IF('01_Forms_Raw'!L24="","",'01_Forms_Raw'!L24)</f>
        <v>46356</v>
      </c>
      <c r="L24" s="2" t="str">
        <f>IF('01_Forms_Raw'!M24="","",'01_Forms_Raw'!M24)</f>
        <v>4to Lote de 500 agendas. Este lote como el 3ero requiere nuevo diseño de portadas e insertos</v>
      </c>
      <c r="M24" s="10" t="s">
        <v>191</v>
      </c>
      <c r="N24" s="10" t="s">
        <v>198</v>
      </c>
      <c r="O24" s="10" t="str">
        <f t="shared" si="0"/>
        <v>Completa</v>
      </c>
      <c r="P24" s="10">
        <f t="shared" si="1"/>
        <v>84</v>
      </c>
      <c r="Q24" s="2" t="str">
        <f t="shared" si="2"/>
        <v>OK</v>
      </c>
      <c r="R24" s="2" t="str">
        <f t="shared" si="3"/>
        <v>OT-UM-202609-023</v>
      </c>
      <c r="S24" s="10" t="str">
        <f t="shared" si="4"/>
        <v>Sí</v>
      </c>
      <c r="T24" s="10" t="str">
        <f t="shared" si="5"/>
        <v>Lista para OT</v>
      </c>
    </row>
    <row r="25" spans="1:20" ht="26" customHeight="1">
      <c r="A25" s="2">
        <f>IF('01_Forms_Raw'!A25="","",'01_Forms_Raw'!A25)</f>
        <v>24</v>
      </c>
      <c r="B25" s="9">
        <f>IF('01_Forms_Raw'!B25="","",'01_Forms_Raw'!B25)</f>
        <v>46279</v>
      </c>
      <c r="C25" s="9">
        <f>IF('01_Forms_Raw'!H25="","",'01_Forms_Raw'!H25)</f>
        <v>46279</v>
      </c>
      <c r="D25" s="2" t="str">
        <f>IF('01_Forms_Raw'!D25="","",'01_Forms_Raw'!D25)</f>
        <v>Vicerrectoria</v>
      </c>
      <c r="E25" s="2" t="str">
        <f>IF('01_Forms_Raw'!E25="","",'01_Forms_Raw'!E25)</f>
        <v>Jose Luis Castro Guerra</v>
      </c>
      <c r="F25" s="2" t="str">
        <f>IF('01_Forms_Raw'!F25="","",'01_Forms_Raw'!F25)</f>
        <v>Vicerrector</v>
      </c>
      <c r="G25" s="2" t="str">
        <f>IF('01_Forms_Raw'!G25="","",'01_Forms_Raw'!G25)</f>
        <v>vice-rectoria@unimetro.edu.co</v>
      </c>
      <c r="H25" s="2" t="str">
        <f>IF('01_Forms_Raw'!I25="","",'01_Forms_Raw'!I25)</f>
        <v xml:space="preserve">Tarjetas de presentación </v>
      </c>
      <c r="I25" s="10" t="str">
        <f>IF('01_Forms_Raw'!J25="","",'01_Forms_Raw'!J25)</f>
        <v>Tarjetas de presentación</v>
      </c>
      <c r="J25" s="2">
        <f>IF('01_Forms_Raw'!K25="","",VALUE('01_Forms_Raw'!K25))</f>
        <v>500</v>
      </c>
      <c r="K25" s="39">
        <f>IF('01_Forms_Raw'!L25="","",'01_Forms_Raw'!L25)</f>
        <v>46295</v>
      </c>
      <c r="L25" s="2" t="str">
        <f>IF('01_Forms_Raw'!M25="","",'01_Forms_Raw'!M25)</f>
        <v>Las tarjetas de presentación se fabricarán en propalcote 300 y plastificadas en mate. La imprenta no cuenta con equipos para crear texturas, repujado o relieve en las tarjetas.</v>
      </c>
      <c r="M25" s="10" t="s">
        <v>191</v>
      </c>
      <c r="N25" s="10" t="s">
        <v>198</v>
      </c>
      <c r="O25" s="10" t="str">
        <f t="shared" si="0"/>
        <v>Completa</v>
      </c>
      <c r="P25" s="10">
        <f t="shared" si="1"/>
        <v>16</v>
      </c>
      <c r="Q25" s="2" t="str">
        <f t="shared" si="2"/>
        <v>OK</v>
      </c>
      <c r="R25" s="2" t="str">
        <f t="shared" si="3"/>
        <v>OT-UM-202609-024</v>
      </c>
      <c r="S25" s="10" t="str">
        <f t="shared" si="4"/>
        <v>Sí</v>
      </c>
      <c r="T25" s="10" t="str">
        <f t="shared" si="5"/>
        <v>Lista para OT</v>
      </c>
    </row>
    <row r="26" spans="1:20" ht="56">
      <c r="A26" s="2">
        <f>IF('01_Forms_Raw'!A26="","",'01_Forms_Raw'!A26)</f>
        <v>25</v>
      </c>
      <c r="B26" s="9">
        <f>IF('01_Forms_Raw'!B26="","",'01_Forms_Raw'!B26)</f>
        <v>46283</v>
      </c>
      <c r="C26" s="9">
        <f>IF('01_Forms_Raw'!H26="","",'01_Forms_Raw'!H26)</f>
        <v>46283</v>
      </c>
      <c r="D26" s="2" t="str">
        <f>IF('01_Forms_Raw'!D26="","",'01_Forms_Raw'!D26)</f>
        <v>Vicerrectoria - Direccion de bienestar universitario</v>
      </c>
      <c r="E26" s="2" t="str">
        <f>IF('01_Forms_Raw'!E26="","",'01_Forms_Raw'!E26)</f>
        <v>Katty Aguas Gamarra</v>
      </c>
      <c r="F26" s="2" t="str">
        <f>IF('01_Forms_Raw'!F26="","",'01_Forms_Raw'!F26)</f>
        <v>Coordinadora de Desarrollo Humano</v>
      </c>
      <c r="G26" s="2" t="str">
        <f>IF('01_Forms_Raw'!G26="","",'01_Forms_Raw'!G26)</f>
        <v>desarrollohumano@unimetro.edu.co</v>
      </c>
      <c r="H26" s="2" t="str">
        <f>IF('01_Forms_Raw'!I26="","",'01_Forms_Raw'!I26)</f>
        <v>Separadores de libros sobre salud mental</v>
      </c>
      <c r="I26" s="10" t="str">
        <f>IF('01_Forms_Raw'!J26="","",'01_Forms_Raw'!J26)</f>
        <v>Separadores de libros</v>
      </c>
      <c r="J26" s="2">
        <f>IF('01_Forms_Raw'!K26="","",VALUE('01_Forms_Raw'!K26))</f>
        <v>1000</v>
      </c>
      <c r="K26" s="39">
        <f>IF('01_Forms_Raw'!L26="","",'01_Forms_Raw'!L26)</f>
        <v>46309</v>
      </c>
      <c r="L26" s="2" t="str">
        <f>IF('01_Forms_Raw'!M26="","",'01_Forms_Raw'!M26)</f>
        <v>Estos separadores se entregarán el dia 10 de septiembre en actividad masiva sobre prevención del suicidio.</v>
      </c>
      <c r="M26" s="10" t="s">
        <v>191</v>
      </c>
      <c r="N26" s="10" t="s">
        <v>198</v>
      </c>
      <c r="O26" s="10" t="str">
        <f t="shared" si="0"/>
        <v>Completa</v>
      </c>
      <c r="P26" s="10">
        <f t="shared" si="1"/>
        <v>26</v>
      </c>
      <c r="Q26" s="2" t="str">
        <f t="shared" si="2"/>
        <v>OK</v>
      </c>
      <c r="R26" s="2" t="str">
        <f t="shared" si="3"/>
        <v>OT-UM-202609-025</v>
      </c>
      <c r="S26" s="10" t="str">
        <f t="shared" si="4"/>
        <v>Sí</v>
      </c>
      <c r="T26" s="10" t="str">
        <f t="shared" si="5"/>
        <v>Lista para OT</v>
      </c>
    </row>
    <row r="27" spans="1:20" ht="42">
      <c r="A27" s="2">
        <f>IF('01_Forms_Raw'!A27="","",'01_Forms_Raw'!A27)</f>
        <v>26</v>
      </c>
      <c r="B27" s="9">
        <f>IF('01_Forms_Raw'!B27="","",'01_Forms_Raw'!B27)</f>
        <v>46287</v>
      </c>
      <c r="C27" s="9">
        <f>IF('01_Forms_Raw'!H27="","",'01_Forms_Raw'!H27)</f>
        <v>46287</v>
      </c>
      <c r="D27" s="2" t="str">
        <f>IF('01_Forms_Raw'!D27="","",'01_Forms_Raw'!D27)</f>
        <v xml:space="preserve">Rectoria </v>
      </c>
      <c r="E27" s="2" t="str">
        <f>IF('01_Forms_Raw'!E27="","",'01_Forms_Raw'!E27)</f>
        <v>Lidia Cala</v>
      </c>
      <c r="F27" s="2" t="str">
        <f>IF('01_Forms_Raw'!F27="","",'01_Forms_Raw'!F27)</f>
        <v>Secretaria</v>
      </c>
      <c r="G27" s="2" t="str">
        <f>IF('01_Forms_Raw'!G27="","",'01_Forms_Raw'!G27)</f>
        <v>rectoriaunimetro@unimetro.edu.co</v>
      </c>
      <c r="H27" s="2" t="str">
        <f>IF('01_Forms_Raw'!I27="","",'01_Forms_Raw'!I27)</f>
        <v>Miniblocks - pieza uso interno unimetro</v>
      </c>
      <c r="I27" s="10" t="str">
        <f>IF('01_Forms_Raw'!J27="","",'01_Forms_Raw'!J27)</f>
        <v>MiniBlocks</v>
      </c>
      <c r="J27" s="2">
        <f>IF('01_Forms_Raw'!K27="","",VALUE('01_Forms_Raw'!K27))</f>
        <v>1000</v>
      </c>
      <c r="K27" s="39">
        <f>IF('01_Forms_Raw'!L27="","",'01_Forms_Raw'!L27)</f>
        <v>46356</v>
      </c>
      <c r="L27" s="2" t="str">
        <f>IF('01_Forms_Raw'!M27="","",'01_Forms_Raw'!M27)</f>
        <v>Se requieren 1000 unidades de miniblocks.Se utizará material del pedido #20.  Se entregarán 500 en Oct y 500 en Noviembre.</v>
      </c>
      <c r="M27" s="10" t="s">
        <v>191</v>
      </c>
      <c r="N27" s="10" t="s">
        <v>198</v>
      </c>
      <c r="O27" s="10" t="str">
        <f t="shared" si="0"/>
        <v>Completa</v>
      </c>
      <c r="P27" s="10">
        <f t="shared" si="1"/>
        <v>69</v>
      </c>
      <c r="Q27" s="2" t="str">
        <f t="shared" si="2"/>
        <v>OK</v>
      </c>
      <c r="R27" s="2" t="str">
        <f t="shared" si="3"/>
        <v>OT-UM-202609-026</v>
      </c>
      <c r="S27" s="10" t="str">
        <f t="shared" si="4"/>
        <v>Sí</v>
      </c>
      <c r="T27" s="10" t="str">
        <f t="shared" si="5"/>
        <v>Lista para OT</v>
      </c>
    </row>
    <row r="28" spans="1:20" ht="28">
      <c r="A28" s="2">
        <f>IF('01_Forms_Raw'!A28="","",'01_Forms_Raw'!A28)</f>
        <v>27</v>
      </c>
      <c r="B28" s="9">
        <f>IF('01_Forms_Raw'!B28="","",'01_Forms_Raw'!B28)</f>
        <v>46293</v>
      </c>
      <c r="C28" s="9">
        <f>IF('01_Forms_Raw'!H28="","",'01_Forms_Raw'!H28)</f>
        <v>46293</v>
      </c>
      <c r="D28" s="2" t="str">
        <f>IF('01_Forms_Raw'!D28="","",'01_Forms_Raw'!D28)</f>
        <v>Direccion de idiomas</v>
      </c>
      <c r="E28" s="2" t="str">
        <f>IF('01_Forms_Raw'!E28="","",'01_Forms_Raw'!E28)</f>
        <v>Sara Elena Plata</v>
      </c>
      <c r="F28" s="2" t="str">
        <f>IF('01_Forms_Raw'!F28="","",'01_Forms_Raw'!F28)</f>
        <v>Directora Idiomas</v>
      </c>
      <c r="G28" s="2" t="str">
        <f>IF('01_Forms_Raw'!G28="","",'01_Forms_Raw'!G28)</f>
        <v>direccion.idiomas@unimetro.edu.co</v>
      </c>
      <c r="H28" s="2" t="str">
        <f>IF('01_Forms_Raw'!I28="","",'01_Forms_Raw'!I28)</f>
        <v>Volantes - Unidad Académica de Idiomas</v>
      </c>
      <c r="I28" s="10" t="str">
        <f>IF('01_Forms_Raw'!J28="","",'01_Forms_Raw'!J28)</f>
        <v>Volantes</v>
      </c>
      <c r="J28" s="2">
        <f>IF('01_Forms_Raw'!K28="","",VALUE('01_Forms_Raw'!K28))</f>
        <v>1000</v>
      </c>
      <c r="K28" s="2">
        <f>IF('01_Forms_Raw'!L28="","",'01_Forms_Raw'!L28)</f>
        <v>46311</v>
      </c>
      <c r="L28" s="2" t="str">
        <f>IF('01_Forms_Raw'!M28="","",'01_Forms_Raw'!M28)</f>
        <v>Se requieren 1000 unidades a 4 tintas en propalcote200</v>
      </c>
      <c r="M28" s="10" t="s">
        <v>191</v>
      </c>
      <c r="N28" s="10" t="s">
        <v>198</v>
      </c>
      <c r="O28" s="10" t="str">
        <f t="shared" si="0"/>
        <v>Completa</v>
      </c>
      <c r="P28" s="10">
        <f t="shared" si="1"/>
        <v>18</v>
      </c>
      <c r="Q28" s="2" t="str">
        <f t="shared" si="2"/>
        <v>OK</v>
      </c>
      <c r="R28" s="2" t="str">
        <f t="shared" si="3"/>
        <v>OT-UM-202609-027</v>
      </c>
      <c r="S28" s="10" t="str">
        <f t="shared" si="4"/>
        <v>Sí</v>
      </c>
      <c r="T28" s="10" t="str">
        <f t="shared" si="5"/>
        <v>Lista para OT</v>
      </c>
    </row>
    <row r="29" spans="1:20" s="28" customFormat="1" ht="56">
      <c r="A29" s="26">
        <f>IF('01_Forms_Raw'!A29="","",'01_Forms_Raw'!A29)</f>
        <v>28</v>
      </c>
      <c r="B29" s="39">
        <f>IF('01_Forms_Raw'!B29="","",'01_Forms_Raw'!B29)</f>
        <v>46297.647916666669</v>
      </c>
      <c r="C29" s="39">
        <f>IF('01_Forms_Raw'!H29="","",'01_Forms_Raw'!H29)</f>
        <v>46300</v>
      </c>
      <c r="D29" s="26" t="str">
        <f>IF('01_Forms_Raw'!D29="","",'01_Forms_Raw'!D29)</f>
        <v>Vicerrectoria - Direccion de bienestar universitario</v>
      </c>
      <c r="E29" s="26" t="str">
        <f>IF('01_Forms_Raw'!E29="","",'01_Forms_Raw'!E29)</f>
        <v>Katty Aguas Gamarra</v>
      </c>
      <c r="F29" s="26" t="str">
        <f>IF('01_Forms_Raw'!F29="","",'01_Forms_Raw'!F29)</f>
        <v>Coordinadora de Desarrollo Humano</v>
      </c>
      <c r="G29" s="26" t="str">
        <f>IF('01_Forms_Raw'!G29="","",'01_Forms_Raw'!G29)</f>
        <v>desarrollohumano@unimetro.edu.co</v>
      </c>
      <c r="H29" s="26" t="str">
        <f>IF('01_Forms_Raw'!I29="","",'01_Forms_Raw'!I29)</f>
        <v>Mini Agendas</v>
      </c>
      <c r="I29" s="25" t="str">
        <f>IF('01_Forms_Raw'!J29="","",'01_Forms_Raw'!J29)</f>
        <v>Mini Agendas o Libretas</v>
      </c>
      <c r="J29" s="26">
        <f>IF('01_Forms_Raw'!K29="","",VALUE('01_Forms_Raw'!K29))</f>
        <v>60</v>
      </c>
      <c r="K29" s="26">
        <f>IF('01_Forms_Raw'!L29="","",'01_Forms_Raw'!L29)</f>
        <v>46314</v>
      </c>
      <c r="L29" s="26" t="str">
        <f>IF('01_Forms_Raw'!M29="","",'01_Forms_Raw'!M29)</f>
        <v>60 mini agendas color rosa con un diseño simple.</v>
      </c>
      <c r="M29" s="25" t="s">
        <v>167</v>
      </c>
      <c r="N29" s="25" t="s">
        <v>187</v>
      </c>
      <c r="O29" s="25" t="str">
        <f t="shared" si="0"/>
        <v>Completa</v>
      </c>
      <c r="P29" s="25">
        <f t="shared" si="1"/>
        <v>14</v>
      </c>
      <c r="Q29" s="26" t="str">
        <f t="shared" si="2"/>
        <v>OK</v>
      </c>
      <c r="R29" s="26" t="str">
        <f t="shared" si="3"/>
        <v>OT-UM-202610-028</v>
      </c>
      <c r="S29" s="25" t="str">
        <f t="shared" si="4"/>
        <v>Sí</v>
      </c>
      <c r="T29" s="25" t="str">
        <f t="shared" si="5"/>
        <v>Lista para OT</v>
      </c>
    </row>
    <row r="30" spans="1:20">
      <c r="A30" s="2" t="str">
        <f>IF('01_Forms_Raw'!A30="","",'01_Forms_Raw'!A30)</f>
        <v/>
      </c>
      <c r="B30" s="9" t="str">
        <f>IF('01_Forms_Raw'!B30="","",'01_Forms_Raw'!B30)</f>
        <v/>
      </c>
      <c r="C30" s="9" t="str">
        <f>IF('01_Forms_Raw'!H30="","",'01_Forms_Raw'!H30)</f>
        <v/>
      </c>
      <c r="D30" s="2" t="str">
        <f>IF('01_Forms_Raw'!D30="","",'01_Forms_Raw'!D30)</f>
        <v/>
      </c>
      <c r="E30" s="2" t="str">
        <f>IF('01_Forms_Raw'!E30="","",'01_Forms_Raw'!E30)</f>
        <v/>
      </c>
      <c r="F30" s="2" t="str">
        <f>IF('01_Forms_Raw'!F30="","",'01_Forms_Raw'!F30)</f>
        <v/>
      </c>
      <c r="G30" s="2" t="str">
        <f>IF('01_Forms_Raw'!G30="","",'01_Forms_Raw'!G30)</f>
        <v/>
      </c>
      <c r="H30" s="2" t="str">
        <f>IF('01_Forms_Raw'!I30="","",'01_Forms_Raw'!I30)</f>
        <v/>
      </c>
      <c r="I30" s="10" t="str">
        <f>IF('01_Forms_Raw'!J30="","",'01_Forms_Raw'!J30)</f>
        <v/>
      </c>
      <c r="J30" s="2" t="str">
        <f>IF('01_Forms_Raw'!K30="","",VALUE('01_Forms_Raw'!K30))</f>
        <v/>
      </c>
      <c r="K30" s="2" t="str">
        <f>IF('01_Forms_Raw'!L30="","",'01_Forms_Raw'!L30)</f>
        <v/>
      </c>
      <c r="L30" s="2" t="str">
        <f>IF('01_Forms_Raw'!M30="","",'01_Forms_Raw'!M30)</f>
        <v/>
      </c>
      <c r="M30" s="10"/>
      <c r="N30" s="10"/>
      <c r="O30" s="10" t="str">
        <f t="shared" si="0"/>
        <v/>
      </c>
      <c r="P30" s="10" t="str">
        <f t="shared" si="1"/>
        <v/>
      </c>
      <c r="Q30" s="2" t="str">
        <f t="shared" si="2"/>
        <v/>
      </c>
      <c r="R30" s="2" t="str">
        <f t="shared" si="3"/>
        <v/>
      </c>
      <c r="S30" s="10" t="str">
        <f t="shared" si="4"/>
        <v/>
      </c>
      <c r="T30" s="10" t="str">
        <f t="shared" si="5"/>
        <v/>
      </c>
    </row>
    <row r="31" spans="1:20">
      <c r="A31" s="2" t="str">
        <f>IF('01_Forms_Raw'!A31="","",'01_Forms_Raw'!A31)</f>
        <v/>
      </c>
      <c r="B31" s="9" t="str">
        <f>IF('01_Forms_Raw'!B31="","",'01_Forms_Raw'!B31)</f>
        <v/>
      </c>
      <c r="C31" s="9" t="str">
        <f>IF('01_Forms_Raw'!H31="","",'01_Forms_Raw'!H31)</f>
        <v/>
      </c>
      <c r="D31" s="2" t="str">
        <f>IF('01_Forms_Raw'!D31="","",'01_Forms_Raw'!D31)</f>
        <v/>
      </c>
      <c r="E31" s="2" t="str">
        <f>IF('01_Forms_Raw'!E31="","",'01_Forms_Raw'!E31)</f>
        <v/>
      </c>
      <c r="F31" s="2" t="str">
        <f>IF('01_Forms_Raw'!F31="","",'01_Forms_Raw'!F31)</f>
        <v/>
      </c>
      <c r="G31" s="2" t="str">
        <f>IF('01_Forms_Raw'!G31="","",'01_Forms_Raw'!G31)</f>
        <v/>
      </c>
      <c r="H31" s="2" t="str">
        <f>IF('01_Forms_Raw'!I31="","",'01_Forms_Raw'!I31)</f>
        <v/>
      </c>
      <c r="I31" s="10" t="str">
        <f>IF('01_Forms_Raw'!J31="","",'01_Forms_Raw'!J31)</f>
        <v/>
      </c>
      <c r="J31" s="2" t="str">
        <f>IF('01_Forms_Raw'!K31="","",VALUE('01_Forms_Raw'!K31))</f>
        <v/>
      </c>
      <c r="K31" s="2" t="str">
        <f>IF('01_Forms_Raw'!L31="","",'01_Forms_Raw'!L31)</f>
        <v/>
      </c>
      <c r="L31" s="2" t="str">
        <f>IF('01_Forms_Raw'!M31="","",'01_Forms_Raw'!M31)</f>
        <v/>
      </c>
      <c r="M31" s="10"/>
      <c r="N31" s="10"/>
      <c r="O31" s="10" t="str">
        <f t="shared" si="0"/>
        <v/>
      </c>
      <c r="P31" s="10" t="str">
        <f t="shared" si="1"/>
        <v/>
      </c>
      <c r="Q31" s="2" t="str">
        <f t="shared" si="2"/>
        <v/>
      </c>
      <c r="R31" s="2" t="str">
        <f t="shared" si="3"/>
        <v/>
      </c>
      <c r="S31" s="10" t="str">
        <f t="shared" si="4"/>
        <v/>
      </c>
      <c r="T31" s="10" t="str">
        <f t="shared" si="5"/>
        <v/>
      </c>
    </row>
    <row r="32" spans="1:20">
      <c r="A32" s="2" t="str">
        <f>IF('01_Forms_Raw'!A32="","",'01_Forms_Raw'!A32)</f>
        <v/>
      </c>
      <c r="B32" s="9" t="str">
        <f>IF('01_Forms_Raw'!B32="","",'01_Forms_Raw'!B32)</f>
        <v/>
      </c>
      <c r="C32" s="9" t="str">
        <f>IF('01_Forms_Raw'!H32="","",'01_Forms_Raw'!H32)</f>
        <v/>
      </c>
      <c r="D32" s="2" t="str">
        <f>IF('01_Forms_Raw'!D32="","",'01_Forms_Raw'!D32)</f>
        <v/>
      </c>
      <c r="E32" s="2" t="str">
        <f>IF('01_Forms_Raw'!E32="","",'01_Forms_Raw'!E32)</f>
        <v/>
      </c>
      <c r="F32" s="2" t="str">
        <f>IF('01_Forms_Raw'!F32="","",'01_Forms_Raw'!F32)</f>
        <v/>
      </c>
      <c r="G32" s="2" t="str">
        <f>IF('01_Forms_Raw'!G32="","",'01_Forms_Raw'!G32)</f>
        <v/>
      </c>
      <c r="H32" s="2" t="str">
        <f>IF('01_Forms_Raw'!I32="","",'01_Forms_Raw'!I32)</f>
        <v/>
      </c>
      <c r="I32" s="10" t="str">
        <f>IF('01_Forms_Raw'!J32="","",'01_Forms_Raw'!J32)</f>
        <v/>
      </c>
      <c r="J32" s="2" t="str">
        <f>IF('01_Forms_Raw'!K32="","",VALUE('01_Forms_Raw'!K32))</f>
        <v/>
      </c>
      <c r="K32" s="2" t="str">
        <f>IF('01_Forms_Raw'!L32="","",'01_Forms_Raw'!L32)</f>
        <v/>
      </c>
      <c r="L32" s="2" t="str">
        <f>IF('01_Forms_Raw'!M32="","",'01_Forms_Raw'!M32)</f>
        <v/>
      </c>
      <c r="M32" s="10"/>
      <c r="N32" s="10"/>
      <c r="O32" s="10" t="str">
        <f t="shared" si="0"/>
        <v/>
      </c>
      <c r="P32" s="10" t="str">
        <f t="shared" si="1"/>
        <v/>
      </c>
      <c r="Q32" s="2" t="str">
        <f t="shared" si="2"/>
        <v/>
      </c>
      <c r="R32" s="2" t="str">
        <f t="shared" si="3"/>
        <v/>
      </c>
      <c r="S32" s="10" t="str">
        <f t="shared" si="4"/>
        <v/>
      </c>
      <c r="T32" s="10" t="str">
        <f t="shared" si="5"/>
        <v/>
      </c>
    </row>
    <row r="33" spans="1:20">
      <c r="A33" s="2" t="str">
        <f>IF('01_Forms_Raw'!A33="","",'01_Forms_Raw'!A33)</f>
        <v/>
      </c>
      <c r="B33" s="9" t="str">
        <f>IF('01_Forms_Raw'!B33="","",'01_Forms_Raw'!B33)</f>
        <v/>
      </c>
      <c r="C33" s="9" t="str">
        <f>IF('01_Forms_Raw'!H33="","",'01_Forms_Raw'!H33)</f>
        <v/>
      </c>
      <c r="D33" s="2" t="str">
        <f>IF('01_Forms_Raw'!D33="","",'01_Forms_Raw'!D33)</f>
        <v/>
      </c>
      <c r="E33" s="2" t="str">
        <f>IF('01_Forms_Raw'!E33="","",'01_Forms_Raw'!E33)</f>
        <v/>
      </c>
      <c r="F33" s="2" t="str">
        <f>IF('01_Forms_Raw'!F33="","",'01_Forms_Raw'!F33)</f>
        <v/>
      </c>
      <c r="G33" s="2" t="str">
        <f>IF('01_Forms_Raw'!G33="","",'01_Forms_Raw'!G33)</f>
        <v/>
      </c>
      <c r="H33" s="2" t="str">
        <f>IF('01_Forms_Raw'!I33="","",'01_Forms_Raw'!I33)</f>
        <v/>
      </c>
      <c r="I33" s="10" t="str">
        <f>IF('01_Forms_Raw'!J33="","",'01_Forms_Raw'!J33)</f>
        <v/>
      </c>
      <c r="J33" s="2" t="str">
        <f>IF('01_Forms_Raw'!K33="","",VALUE('01_Forms_Raw'!K33))</f>
        <v/>
      </c>
      <c r="K33" s="2" t="str">
        <f>IF('01_Forms_Raw'!L33="","",'01_Forms_Raw'!L33)</f>
        <v/>
      </c>
      <c r="L33" s="2" t="str">
        <f>IF('01_Forms_Raw'!M33="","",'01_Forms_Raw'!M33)</f>
        <v/>
      </c>
      <c r="M33" s="10"/>
      <c r="N33" s="10"/>
      <c r="O33" s="10" t="str">
        <f t="shared" si="0"/>
        <v/>
      </c>
      <c r="P33" s="10" t="str">
        <f t="shared" si="1"/>
        <v/>
      </c>
      <c r="Q33" s="2" t="str">
        <f t="shared" si="2"/>
        <v/>
      </c>
      <c r="R33" s="2" t="str">
        <f t="shared" si="3"/>
        <v/>
      </c>
      <c r="S33" s="10" t="str">
        <f t="shared" si="4"/>
        <v/>
      </c>
      <c r="T33" s="10" t="str">
        <f t="shared" si="5"/>
        <v/>
      </c>
    </row>
    <row r="34" spans="1:20">
      <c r="A34" s="2" t="str">
        <f>IF('01_Forms_Raw'!A34="","",'01_Forms_Raw'!A34)</f>
        <v/>
      </c>
      <c r="B34" s="9" t="str">
        <f>IF('01_Forms_Raw'!B34="","",'01_Forms_Raw'!B34)</f>
        <v/>
      </c>
      <c r="C34" s="9" t="str">
        <f>IF('01_Forms_Raw'!H34="","",'01_Forms_Raw'!H34)</f>
        <v/>
      </c>
      <c r="D34" s="2" t="str">
        <f>IF('01_Forms_Raw'!D34="","",'01_Forms_Raw'!D34)</f>
        <v/>
      </c>
      <c r="E34" s="2" t="str">
        <f>IF('01_Forms_Raw'!E34="","",'01_Forms_Raw'!E34)</f>
        <v/>
      </c>
      <c r="F34" s="2" t="str">
        <f>IF('01_Forms_Raw'!F34="","",'01_Forms_Raw'!F34)</f>
        <v/>
      </c>
      <c r="G34" s="2" t="str">
        <f>IF('01_Forms_Raw'!G34="","",'01_Forms_Raw'!G34)</f>
        <v/>
      </c>
      <c r="H34" s="2" t="str">
        <f>IF('01_Forms_Raw'!I34="","",'01_Forms_Raw'!I34)</f>
        <v/>
      </c>
      <c r="I34" s="10" t="str">
        <f>IF('01_Forms_Raw'!J34="","",'01_Forms_Raw'!J34)</f>
        <v/>
      </c>
      <c r="J34" s="2" t="str">
        <f>IF('01_Forms_Raw'!K34="","",VALUE('01_Forms_Raw'!K34))</f>
        <v/>
      </c>
      <c r="K34" s="2" t="str">
        <f>IF('01_Forms_Raw'!L34="","",'01_Forms_Raw'!L34)</f>
        <v/>
      </c>
      <c r="L34" s="2" t="str">
        <f>IF('01_Forms_Raw'!M34="","",'01_Forms_Raw'!M34)</f>
        <v/>
      </c>
      <c r="M34" s="10"/>
      <c r="N34" s="10"/>
      <c r="O34" s="10" t="str">
        <f t="shared" ref="O34:O65" si="6">IF(A34="","",IF(AND(D34&lt;&gt;"",E34&lt;&gt;"",H34&lt;&gt;"",I34&lt;&gt;"",J34&lt;&gt;"",K34&lt;&gt;""),"Completa","Incompleta"))</f>
        <v/>
      </c>
      <c r="P34" s="10" t="str">
        <f t="shared" ref="P34:P65" si="7">IF(A34="","",K34-C34)</f>
        <v/>
      </c>
      <c r="Q34" s="2" t="str">
        <f t="shared" ref="Q34:Q65" si="8">IF(A34="","",IF(P34&lt;3,"Riesgo SLA",IF(P34&lt;7,"Corto","OK")))</f>
        <v/>
      </c>
      <c r="R34" s="2" t="str">
        <f t="shared" ref="R34:R65" si="9">IF(A34="","","OT-UM-"&amp;TEXT(C34,"yyyymm")&amp;"-"&amp;TEXT(A34,"000"))</f>
        <v/>
      </c>
      <c r="S34" s="10" t="str">
        <f t="shared" ref="S34:S65" si="10">IF(A34="","",IF(O34="Completa","Sí","No"))</f>
        <v/>
      </c>
      <c r="T34" s="10" t="str">
        <f t="shared" ref="T34:T65" si="11">IF(A34="","",IF(O34="Completa","Lista para OT","Completar brief antes de pasar a diseño"))</f>
        <v/>
      </c>
    </row>
    <row r="35" spans="1:20">
      <c r="A35" s="2" t="str">
        <f>IF('01_Forms_Raw'!A35="","",'01_Forms_Raw'!A35)</f>
        <v/>
      </c>
      <c r="B35" s="9" t="str">
        <f>IF('01_Forms_Raw'!B35="","",'01_Forms_Raw'!B35)</f>
        <v/>
      </c>
      <c r="C35" s="9" t="str">
        <f>IF('01_Forms_Raw'!H35="","",'01_Forms_Raw'!H35)</f>
        <v/>
      </c>
      <c r="D35" s="2" t="str">
        <f>IF('01_Forms_Raw'!D35="","",'01_Forms_Raw'!D35)</f>
        <v/>
      </c>
      <c r="E35" s="2" t="str">
        <f>IF('01_Forms_Raw'!E35="","",'01_Forms_Raw'!E35)</f>
        <v/>
      </c>
      <c r="F35" s="2" t="str">
        <f>IF('01_Forms_Raw'!F35="","",'01_Forms_Raw'!F35)</f>
        <v/>
      </c>
      <c r="G35" s="2" t="str">
        <f>IF('01_Forms_Raw'!G35="","",'01_Forms_Raw'!G35)</f>
        <v/>
      </c>
      <c r="H35" s="2" t="str">
        <f>IF('01_Forms_Raw'!I35="","",'01_Forms_Raw'!I35)</f>
        <v/>
      </c>
      <c r="I35" s="10" t="str">
        <f>IF('01_Forms_Raw'!J35="","",'01_Forms_Raw'!J35)</f>
        <v/>
      </c>
      <c r="J35" s="2" t="str">
        <f>IF('01_Forms_Raw'!K35="","",VALUE('01_Forms_Raw'!K35))</f>
        <v/>
      </c>
      <c r="K35" s="2" t="str">
        <f>IF('01_Forms_Raw'!L35="","",'01_Forms_Raw'!L35)</f>
        <v/>
      </c>
      <c r="L35" s="2" t="str">
        <f>IF('01_Forms_Raw'!M35="","",'01_Forms_Raw'!M35)</f>
        <v/>
      </c>
      <c r="M35" s="10"/>
      <c r="N35" s="10"/>
      <c r="O35" s="10" t="str">
        <f t="shared" si="6"/>
        <v/>
      </c>
      <c r="P35" s="10" t="str">
        <f t="shared" si="7"/>
        <v/>
      </c>
      <c r="Q35" s="2" t="str">
        <f t="shared" si="8"/>
        <v/>
      </c>
      <c r="R35" s="2" t="str">
        <f t="shared" si="9"/>
        <v/>
      </c>
      <c r="S35" s="10" t="str">
        <f t="shared" si="10"/>
        <v/>
      </c>
      <c r="T35" s="10" t="str">
        <f t="shared" si="11"/>
        <v/>
      </c>
    </row>
    <row r="36" spans="1:20">
      <c r="A36" s="2" t="str">
        <f>IF('01_Forms_Raw'!A36="","",'01_Forms_Raw'!A36)</f>
        <v/>
      </c>
      <c r="B36" s="9" t="str">
        <f>IF('01_Forms_Raw'!B36="","",'01_Forms_Raw'!B36)</f>
        <v/>
      </c>
      <c r="C36" s="9" t="str">
        <f>IF('01_Forms_Raw'!H36="","",'01_Forms_Raw'!H36)</f>
        <v/>
      </c>
      <c r="D36" s="2" t="str">
        <f>IF('01_Forms_Raw'!D36="","",'01_Forms_Raw'!D36)</f>
        <v/>
      </c>
      <c r="E36" s="2" t="str">
        <f>IF('01_Forms_Raw'!E36="","",'01_Forms_Raw'!E36)</f>
        <v/>
      </c>
      <c r="F36" s="2" t="str">
        <f>IF('01_Forms_Raw'!F36="","",'01_Forms_Raw'!F36)</f>
        <v/>
      </c>
      <c r="G36" s="2" t="str">
        <f>IF('01_Forms_Raw'!G36="","",'01_Forms_Raw'!G36)</f>
        <v/>
      </c>
      <c r="H36" s="2" t="str">
        <f>IF('01_Forms_Raw'!I36="","",'01_Forms_Raw'!I36)</f>
        <v/>
      </c>
      <c r="I36" s="10" t="str">
        <f>IF('01_Forms_Raw'!J36="","",'01_Forms_Raw'!J36)</f>
        <v/>
      </c>
      <c r="J36" s="2" t="str">
        <f>IF('01_Forms_Raw'!K36="","",VALUE('01_Forms_Raw'!K36))</f>
        <v/>
      </c>
      <c r="K36" s="2" t="str">
        <f>IF('01_Forms_Raw'!L36="","",'01_Forms_Raw'!L36)</f>
        <v/>
      </c>
      <c r="L36" s="2" t="str">
        <f>IF('01_Forms_Raw'!M36="","",'01_Forms_Raw'!M36)</f>
        <v/>
      </c>
      <c r="M36" s="10"/>
      <c r="N36" s="10"/>
      <c r="O36" s="10" t="str">
        <f t="shared" si="6"/>
        <v/>
      </c>
      <c r="P36" s="10" t="str">
        <f t="shared" si="7"/>
        <v/>
      </c>
      <c r="Q36" s="2" t="str">
        <f t="shared" si="8"/>
        <v/>
      </c>
      <c r="R36" s="2" t="str">
        <f t="shared" si="9"/>
        <v/>
      </c>
      <c r="S36" s="10" t="str">
        <f t="shared" si="10"/>
        <v/>
      </c>
      <c r="T36" s="10" t="str">
        <f t="shared" si="11"/>
        <v/>
      </c>
    </row>
    <row r="37" spans="1:20">
      <c r="A37" s="2" t="str">
        <f>IF('01_Forms_Raw'!A37="","",'01_Forms_Raw'!A37)</f>
        <v/>
      </c>
      <c r="B37" s="9" t="str">
        <f>IF('01_Forms_Raw'!B37="","",'01_Forms_Raw'!B37)</f>
        <v/>
      </c>
      <c r="C37" s="9" t="str">
        <f>IF('01_Forms_Raw'!H37="","",'01_Forms_Raw'!H37)</f>
        <v/>
      </c>
      <c r="D37" s="2" t="str">
        <f>IF('01_Forms_Raw'!D37="","",'01_Forms_Raw'!D37)</f>
        <v/>
      </c>
      <c r="E37" s="2" t="str">
        <f>IF('01_Forms_Raw'!E37="","",'01_Forms_Raw'!E37)</f>
        <v/>
      </c>
      <c r="F37" s="2" t="str">
        <f>IF('01_Forms_Raw'!F37="","",'01_Forms_Raw'!F37)</f>
        <v/>
      </c>
      <c r="G37" s="2" t="str">
        <f>IF('01_Forms_Raw'!G37="","",'01_Forms_Raw'!G37)</f>
        <v/>
      </c>
      <c r="H37" s="2" t="str">
        <f>IF('01_Forms_Raw'!I37="","",'01_Forms_Raw'!I37)</f>
        <v/>
      </c>
      <c r="I37" s="10" t="str">
        <f>IF('01_Forms_Raw'!J37="","",'01_Forms_Raw'!J37)</f>
        <v/>
      </c>
      <c r="J37" s="2" t="str">
        <f>IF('01_Forms_Raw'!K37="","",VALUE('01_Forms_Raw'!K37))</f>
        <v/>
      </c>
      <c r="K37" s="2" t="str">
        <f>IF('01_Forms_Raw'!L37="","",'01_Forms_Raw'!L37)</f>
        <v/>
      </c>
      <c r="L37" s="2" t="str">
        <f>IF('01_Forms_Raw'!M37="","",'01_Forms_Raw'!M37)</f>
        <v/>
      </c>
      <c r="M37" s="10"/>
      <c r="N37" s="10"/>
      <c r="O37" s="10" t="str">
        <f t="shared" si="6"/>
        <v/>
      </c>
      <c r="P37" s="10" t="str">
        <f t="shared" si="7"/>
        <v/>
      </c>
      <c r="Q37" s="2" t="str">
        <f t="shared" si="8"/>
        <v/>
      </c>
      <c r="R37" s="2" t="str">
        <f t="shared" si="9"/>
        <v/>
      </c>
      <c r="S37" s="10" t="str">
        <f t="shared" si="10"/>
        <v/>
      </c>
      <c r="T37" s="10" t="str">
        <f t="shared" si="11"/>
        <v/>
      </c>
    </row>
    <row r="38" spans="1:20">
      <c r="A38" s="2" t="str">
        <f>IF('01_Forms_Raw'!A38="","",'01_Forms_Raw'!A38)</f>
        <v/>
      </c>
      <c r="B38" s="9" t="str">
        <f>IF('01_Forms_Raw'!B38="","",'01_Forms_Raw'!B38)</f>
        <v/>
      </c>
      <c r="C38" s="9" t="str">
        <f>IF('01_Forms_Raw'!H38="","",'01_Forms_Raw'!H38)</f>
        <v/>
      </c>
      <c r="D38" s="2" t="str">
        <f>IF('01_Forms_Raw'!D38="","",'01_Forms_Raw'!D38)</f>
        <v/>
      </c>
      <c r="E38" s="2" t="str">
        <f>IF('01_Forms_Raw'!E38="","",'01_Forms_Raw'!E38)</f>
        <v/>
      </c>
      <c r="F38" s="2" t="str">
        <f>IF('01_Forms_Raw'!F38="","",'01_Forms_Raw'!F38)</f>
        <v/>
      </c>
      <c r="G38" s="2" t="str">
        <f>IF('01_Forms_Raw'!G38="","",'01_Forms_Raw'!G38)</f>
        <v/>
      </c>
      <c r="H38" s="2" t="str">
        <f>IF('01_Forms_Raw'!I38="","",'01_Forms_Raw'!I38)</f>
        <v/>
      </c>
      <c r="I38" s="10" t="str">
        <f>IF('01_Forms_Raw'!J38="","",'01_Forms_Raw'!J38)</f>
        <v/>
      </c>
      <c r="J38" s="2" t="str">
        <f>IF('01_Forms_Raw'!K38="","",VALUE('01_Forms_Raw'!K38))</f>
        <v/>
      </c>
      <c r="K38" s="2" t="str">
        <f>IF('01_Forms_Raw'!L38="","",'01_Forms_Raw'!L38)</f>
        <v/>
      </c>
      <c r="L38" s="2" t="str">
        <f>IF('01_Forms_Raw'!M38="","",'01_Forms_Raw'!M38)</f>
        <v/>
      </c>
      <c r="M38" s="10"/>
      <c r="N38" s="10"/>
      <c r="O38" s="10" t="str">
        <f t="shared" si="6"/>
        <v/>
      </c>
      <c r="P38" s="10" t="str">
        <f t="shared" si="7"/>
        <v/>
      </c>
      <c r="Q38" s="2" t="str">
        <f t="shared" si="8"/>
        <v/>
      </c>
      <c r="R38" s="2" t="str">
        <f t="shared" si="9"/>
        <v/>
      </c>
      <c r="S38" s="10" t="str">
        <f t="shared" si="10"/>
        <v/>
      </c>
      <c r="T38" s="10" t="str">
        <f t="shared" si="11"/>
        <v/>
      </c>
    </row>
    <row r="39" spans="1:20">
      <c r="A39" s="2" t="str">
        <f>IF('01_Forms_Raw'!A39="","",'01_Forms_Raw'!A39)</f>
        <v/>
      </c>
      <c r="B39" s="9" t="str">
        <f>IF('01_Forms_Raw'!B39="","",'01_Forms_Raw'!B39)</f>
        <v/>
      </c>
      <c r="C39" s="9" t="str">
        <f>IF('01_Forms_Raw'!H39="","",'01_Forms_Raw'!H39)</f>
        <v/>
      </c>
      <c r="D39" s="2" t="str">
        <f>IF('01_Forms_Raw'!D39="","",'01_Forms_Raw'!D39)</f>
        <v/>
      </c>
      <c r="E39" s="2" t="str">
        <f>IF('01_Forms_Raw'!E39="","",'01_Forms_Raw'!E39)</f>
        <v/>
      </c>
      <c r="F39" s="2" t="str">
        <f>IF('01_Forms_Raw'!F39="","",'01_Forms_Raw'!F39)</f>
        <v/>
      </c>
      <c r="G39" s="2" t="str">
        <f>IF('01_Forms_Raw'!G39="","",'01_Forms_Raw'!G39)</f>
        <v/>
      </c>
      <c r="H39" s="2" t="str">
        <f>IF('01_Forms_Raw'!I39="","",'01_Forms_Raw'!I39)</f>
        <v/>
      </c>
      <c r="I39" s="10" t="str">
        <f>IF('01_Forms_Raw'!J39="","",'01_Forms_Raw'!J39)</f>
        <v/>
      </c>
      <c r="J39" s="2" t="str">
        <f>IF('01_Forms_Raw'!K39="","",VALUE('01_Forms_Raw'!K39))</f>
        <v/>
      </c>
      <c r="K39" s="2" t="str">
        <f>IF('01_Forms_Raw'!L39="","",'01_Forms_Raw'!L39)</f>
        <v/>
      </c>
      <c r="L39" s="2" t="str">
        <f>IF('01_Forms_Raw'!M39="","",'01_Forms_Raw'!M39)</f>
        <v/>
      </c>
      <c r="M39" s="10"/>
      <c r="N39" s="10"/>
      <c r="O39" s="10" t="str">
        <f t="shared" si="6"/>
        <v/>
      </c>
      <c r="P39" s="10" t="str">
        <f t="shared" si="7"/>
        <v/>
      </c>
      <c r="Q39" s="2" t="str">
        <f t="shared" si="8"/>
        <v/>
      </c>
      <c r="R39" s="2" t="str">
        <f t="shared" si="9"/>
        <v/>
      </c>
      <c r="S39" s="10" t="str">
        <f t="shared" si="10"/>
        <v/>
      </c>
      <c r="T39" s="10" t="str">
        <f t="shared" si="11"/>
        <v/>
      </c>
    </row>
    <row r="40" spans="1:20">
      <c r="A40" s="2" t="str">
        <f>IF('01_Forms_Raw'!A40="","",'01_Forms_Raw'!A40)</f>
        <v/>
      </c>
      <c r="B40" s="9" t="str">
        <f>IF('01_Forms_Raw'!B40="","",'01_Forms_Raw'!B40)</f>
        <v/>
      </c>
      <c r="C40" s="9" t="str">
        <f>IF('01_Forms_Raw'!H40="","",'01_Forms_Raw'!H40)</f>
        <v/>
      </c>
      <c r="D40" s="2" t="str">
        <f>IF('01_Forms_Raw'!D40="","",'01_Forms_Raw'!D40)</f>
        <v/>
      </c>
      <c r="E40" s="2" t="str">
        <f>IF('01_Forms_Raw'!E40="","",'01_Forms_Raw'!E40)</f>
        <v/>
      </c>
      <c r="F40" s="2" t="str">
        <f>IF('01_Forms_Raw'!F40="","",'01_Forms_Raw'!F40)</f>
        <v/>
      </c>
      <c r="G40" s="2" t="str">
        <f>IF('01_Forms_Raw'!G40="","",'01_Forms_Raw'!G40)</f>
        <v/>
      </c>
      <c r="H40" s="2" t="str">
        <f>IF('01_Forms_Raw'!I40="","",'01_Forms_Raw'!I40)</f>
        <v/>
      </c>
      <c r="I40" s="10" t="str">
        <f>IF('01_Forms_Raw'!J40="","",'01_Forms_Raw'!J40)</f>
        <v/>
      </c>
      <c r="J40" s="2" t="str">
        <f>IF('01_Forms_Raw'!K40="","",VALUE('01_Forms_Raw'!K40))</f>
        <v/>
      </c>
      <c r="K40" s="2" t="str">
        <f>IF('01_Forms_Raw'!L40="","",'01_Forms_Raw'!L40)</f>
        <v/>
      </c>
      <c r="L40" s="2" t="str">
        <f>IF('01_Forms_Raw'!M40="","",'01_Forms_Raw'!M40)</f>
        <v/>
      </c>
      <c r="M40" s="10"/>
      <c r="N40" s="10"/>
      <c r="O40" s="10" t="str">
        <f t="shared" si="6"/>
        <v/>
      </c>
      <c r="P40" s="10" t="str">
        <f t="shared" si="7"/>
        <v/>
      </c>
      <c r="Q40" s="2" t="str">
        <f t="shared" si="8"/>
        <v/>
      </c>
      <c r="R40" s="2" t="str">
        <f t="shared" si="9"/>
        <v/>
      </c>
      <c r="S40" s="10" t="str">
        <f t="shared" si="10"/>
        <v/>
      </c>
      <c r="T40" s="10" t="str">
        <f t="shared" si="11"/>
        <v/>
      </c>
    </row>
    <row r="41" spans="1:20">
      <c r="A41" s="2" t="str">
        <f>IF('01_Forms_Raw'!A41="","",'01_Forms_Raw'!A41)</f>
        <v/>
      </c>
      <c r="B41" s="9" t="str">
        <f>IF('01_Forms_Raw'!B41="","",'01_Forms_Raw'!B41)</f>
        <v/>
      </c>
      <c r="C41" s="9" t="str">
        <f>IF('01_Forms_Raw'!H41="","",'01_Forms_Raw'!H41)</f>
        <v/>
      </c>
      <c r="D41" s="2" t="str">
        <f>IF('01_Forms_Raw'!D41="","",'01_Forms_Raw'!D41)</f>
        <v/>
      </c>
      <c r="E41" s="2" t="str">
        <f>IF('01_Forms_Raw'!E41="","",'01_Forms_Raw'!E41)</f>
        <v/>
      </c>
      <c r="F41" s="2" t="str">
        <f>IF('01_Forms_Raw'!F41="","",'01_Forms_Raw'!F41)</f>
        <v/>
      </c>
      <c r="G41" s="2" t="str">
        <f>IF('01_Forms_Raw'!G41="","",'01_Forms_Raw'!G41)</f>
        <v/>
      </c>
      <c r="H41" s="2" t="str">
        <f>IF('01_Forms_Raw'!I41="","",'01_Forms_Raw'!I41)</f>
        <v/>
      </c>
      <c r="I41" s="10" t="str">
        <f>IF('01_Forms_Raw'!J41="","",'01_Forms_Raw'!J41)</f>
        <v/>
      </c>
      <c r="J41" s="2" t="str">
        <f>IF('01_Forms_Raw'!K41="","",VALUE('01_Forms_Raw'!K41))</f>
        <v/>
      </c>
      <c r="K41" s="2" t="str">
        <f>IF('01_Forms_Raw'!L41="","",'01_Forms_Raw'!L41)</f>
        <v/>
      </c>
      <c r="L41" s="2" t="str">
        <f>IF('01_Forms_Raw'!M41="","",'01_Forms_Raw'!M41)</f>
        <v/>
      </c>
      <c r="M41" s="10"/>
      <c r="N41" s="10"/>
      <c r="O41" s="10" t="str">
        <f t="shared" si="6"/>
        <v/>
      </c>
      <c r="P41" s="10" t="str">
        <f t="shared" si="7"/>
        <v/>
      </c>
      <c r="Q41" s="2" t="str">
        <f t="shared" si="8"/>
        <v/>
      </c>
      <c r="R41" s="2" t="str">
        <f t="shared" si="9"/>
        <v/>
      </c>
      <c r="S41" s="10" t="str">
        <f t="shared" si="10"/>
        <v/>
      </c>
      <c r="T41" s="10" t="str">
        <f t="shared" si="11"/>
        <v/>
      </c>
    </row>
    <row r="42" spans="1:20">
      <c r="A42" s="2" t="str">
        <f>IF('01_Forms_Raw'!A42="","",'01_Forms_Raw'!A42)</f>
        <v/>
      </c>
      <c r="B42" s="9" t="str">
        <f>IF('01_Forms_Raw'!B42="","",'01_Forms_Raw'!B42)</f>
        <v/>
      </c>
      <c r="C42" s="9" t="str">
        <f>IF('01_Forms_Raw'!H42="","",'01_Forms_Raw'!H42)</f>
        <v/>
      </c>
      <c r="D42" s="2" t="str">
        <f>IF('01_Forms_Raw'!D42="","",'01_Forms_Raw'!D42)</f>
        <v/>
      </c>
      <c r="E42" s="2" t="str">
        <f>IF('01_Forms_Raw'!E42="","",'01_Forms_Raw'!E42)</f>
        <v/>
      </c>
      <c r="F42" s="2" t="str">
        <f>IF('01_Forms_Raw'!F42="","",'01_Forms_Raw'!F42)</f>
        <v/>
      </c>
      <c r="G42" s="2" t="str">
        <f>IF('01_Forms_Raw'!G42="","",'01_Forms_Raw'!G42)</f>
        <v/>
      </c>
      <c r="H42" s="2" t="str">
        <f>IF('01_Forms_Raw'!I42="","",'01_Forms_Raw'!I42)</f>
        <v/>
      </c>
      <c r="I42" s="10" t="str">
        <f>IF('01_Forms_Raw'!J42="","",'01_Forms_Raw'!J42)</f>
        <v/>
      </c>
      <c r="J42" s="2" t="str">
        <f>IF('01_Forms_Raw'!K42="","",VALUE('01_Forms_Raw'!K42))</f>
        <v/>
      </c>
      <c r="K42" s="2" t="str">
        <f>IF('01_Forms_Raw'!L42="","",'01_Forms_Raw'!L42)</f>
        <v/>
      </c>
      <c r="L42" s="2" t="str">
        <f>IF('01_Forms_Raw'!M42="","",'01_Forms_Raw'!M42)</f>
        <v/>
      </c>
      <c r="M42" s="10"/>
      <c r="N42" s="10"/>
      <c r="O42" s="10" t="str">
        <f t="shared" si="6"/>
        <v/>
      </c>
      <c r="P42" s="10" t="str">
        <f t="shared" si="7"/>
        <v/>
      </c>
      <c r="Q42" s="2" t="str">
        <f t="shared" si="8"/>
        <v/>
      </c>
      <c r="R42" s="2" t="str">
        <f t="shared" si="9"/>
        <v/>
      </c>
      <c r="S42" s="10" t="str">
        <f t="shared" si="10"/>
        <v/>
      </c>
      <c r="T42" s="10" t="str">
        <f t="shared" si="11"/>
        <v/>
      </c>
    </row>
    <row r="43" spans="1:20">
      <c r="A43" s="2" t="str">
        <f>IF('01_Forms_Raw'!A43="","",'01_Forms_Raw'!A43)</f>
        <v/>
      </c>
      <c r="B43" s="9" t="str">
        <f>IF('01_Forms_Raw'!B43="","",'01_Forms_Raw'!B43)</f>
        <v/>
      </c>
      <c r="C43" s="9" t="str">
        <f>IF('01_Forms_Raw'!H43="","",'01_Forms_Raw'!H43)</f>
        <v/>
      </c>
      <c r="D43" s="2" t="str">
        <f>IF('01_Forms_Raw'!D43="","",'01_Forms_Raw'!D43)</f>
        <v/>
      </c>
      <c r="E43" s="2" t="str">
        <f>IF('01_Forms_Raw'!E43="","",'01_Forms_Raw'!E43)</f>
        <v/>
      </c>
      <c r="F43" s="2" t="str">
        <f>IF('01_Forms_Raw'!F43="","",'01_Forms_Raw'!F43)</f>
        <v/>
      </c>
      <c r="G43" s="2" t="str">
        <f>IF('01_Forms_Raw'!G43="","",'01_Forms_Raw'!G43)</f>
        <v/>
      </c>
      <c r="H43" s="2" t="str">
        <f>IF('01_Forms_Raw'!I43="","",'01_Forms_Raw'!I43)</f>
        <v/>
      </c>
      <c r="I43" s="10" t="str">
        <f>IF('01_Forms_Raw'!J43="","",'01_Forms_Raw'!J43)</f>
        <v/>
      </c>
      <c r="J43" s="2" t="str">
        <f>IF('01_Forms_Raw'!K43="","",VALUE('01_Forms_Raw'!K43))</f>
        <v/>
      </c>
      <c r="K43" s="2" t="str">
        <f>IF('01_Forms_Raw'!L43="","",'01_Forms_Raw'!L43)</f>
        <v/>
      </c>
      <c r="L43" s="2" t="str">
        <f>IF('01_Forms_Raw'!M43="","",'01_Forms_Raw'!M43)</f>
        <v/>
      </c>
      <c r="M43" s="10"/>
      <c r="N43" s="10"/>
      <c r="O43" s="10" t="str">
        <f t="shared" si="6"/>
        <v/>
      </c>
      <c r="P43" s="10" t="str">
        <f t="shared" si="7"/>
        <v/>
      </c>
      <c r="Q43" s="2" t="str">
        <f t="shared" si="8"/>
        <v/>
      </c>
      <c r="R43" s="2" t="str">
        <f t="shared" si="9"/>
        <v/>
      </c>
      <c r="S43" s="10" t="str">
        <f t="shared" si="10"/>
        <v/>
      </c>
      <c r="T43" s="10" t="str">
        <f t="shared" si="11"/>
        <v/>
      </c>
    </row>
    <row r="44" spans="1:20">
      <c r="A44" s="2" t="str">
        <f>IF('01_Forms_Raw'!A44="","",'01_Forms_Raw'!A44)</f>
        <v/>
      </c>
      <c r="B44" s="9" t="str">
        <f>IF('01_Forms_Raw'!B44="","",'01_Forms_Raw'!B44)</f>
        <v/>
      </c>
      <c r="C44" s="9" t="str">
        <f>IF('01_Forms_Raw'!H44="","",'01_Forms_Raw'!H44)</f>
        <v/>
      </c>
      <c r="D44" s="2" t="str">
        <f>IF('01_Forms_Raw'!D44="","",'01_Forms_Raw'!D44)</f>
        <v/>
      </c>
      <c r="E44" s="2" t="str">
        <f>IF('01_Forms_Raw'!E44="","",'01_Forms_Raw'!E44)</f>
        <v/>
      </c>
      <c r="F44" s="2" t="str">
        <f>IF('01_Forms_Raw'!F44="","",'01_Forms_Raw'!F44)</f>
        <v/>
      </c>
      <c r="G44" s="2" t="str">
        <f>IF('01_Forms_Raw'!G44="","",'01_Forms_Raw'!G44)</f>
        <v/>
      </c>
      <c r="H44" s="2" t="str">
        <f>IF('01_Forms_Raw'!I44="","",'01_Forms_Raw'!I44)</f>
        <v/>
      </c>
      <c r="I44" s="10" t="str">
        <f>IF('01_Forms_Raw'!J44="","",'01_Forms_Raw'!J44)</f>
        <v/>
      </c>
      <c r="J44" s="2" t="str">
        <f>IF('01_Forms_Raw'!K44="","",VALUE('01_Forms_Raw'!K44))</f>
        <v/>
      </c>
      <c r="K44" s="2" t="str">
        <f>IF('01_Forms_Raw'!L44="","",'01_Forms_Raw'!L44)</f>
        <v/>
      </c>
      <c r="L44" s="2" t="str">
        <f>IF('01_Forms_Raw'!M44="","",'01_Forms_Raw'!M44)</f>
        <v/>
      </c>
      <c r="M44" s="10"/>
      <c r="N44" s="10"/>
      <c r="O44" s="10" t="str">
        <f t="shared" si="6"/>
        <v/>
      </c>
      <c r="P44" s="10" t="str">
        <f t="shared" si="7"/>
        <v/>
      </c>
      <c r="Q44" s="2" t="str">
        <f t="shared" si="8"/>
        <v/>
      </c>
      <c r="R44" s="2" t="str">
        <f t="shared" si="9"/>
        <v/>
      </c>
      <c r="S44" s="10" t="str">
        <f t="shared" si="10"/>
        <v/>
      </c>
      <c r="T44" s="10" t="str">
        <f t="shared" si="11"/>
        <v/>
      </c>
    </row>
    <row r="45" spans="1:20">
      <c r="A45" s="2" t="str">
        <f>IF('01_Forms_Raw'!A45="","",'01_Forms_Raw'!A45)</f>
        <v/>
      </c>
      <c r="B45" s="9" t="str">
        <f>IF('01_Forms_Raw'!B45="","",'01_Forms_Raw'!B45)</f>
        <v/>
      </c>
      <c r="C45" s="9" t="str">
        <f>IF('01_Forms_Raw'!H45="","",'01_Forms_Raw'!H45)</f>
        <v/>
      </c>
      <c r="D45" s="2" t="str">
        <f>IF('01_Forms_Raw'!D45="","",'01_Forms_Raw'!D45)</f>
        <v/>
      </c>
      <c r="E45" s="2" t="str">
        <f>IF('01_Forms_Raw'!E45="","",'01_Forms_Raw'!E45)</f>
        <v/>
      </c>
      <c r="F45" s="2" t="str">
        <f>IF('01_Forms_Raw'!F45="","",'01_Forms_Raw'!F45)</f>
        <v/>
      </c>
      <c r="G45" s="2" t="str">
        <f>IF('01_Forms_Raw'!G45="","",'01_Forms_Raw'!G45)</f>
        <v/>
      </c>
      <c r="H45" s="2" t="str">
        <f>IF('01_Forms_Raw'!I45="","",'01_Forms_Raw'!I45)</f>
        <v/>
      </c>
      <c r="I45" s="10" t="str">
        <f>IF('01_Forms_Raw'!J45="","",'01_Forms_Raw'!J45)</f>
        <v/>
      </c>
      <c r="J45" s="2" t="str">
        <f>IF('01_Forms_Raw'!K45="","",VALUE('01_Forms_Raw'!K45))</f>
        <v/>
      </c>
      <c r="K45" s="2" t="str">
        <f>IF('01_Forms_Raw'!L45="","",'01_Forms_Raw'!L45)</f>
        <v/>
      </c>
      <c r="L45" s="2" t="str">
        <f>IF('01_Forms_Raw'!M45="","",'01_Forms_Raw'!M45)</f>
        <v/>
      </c>
      <c r="M45" s="10"/>
      <c r="N45" s="10"/>
      <c r="O45" s="10" t="str">
        <f t="shared" si="6"/>
        <v/>
      </c>
      <c r="P45" s="10" t="str">
        <f t="shared" si="7"/>
        <v/>
      </c>
      <c r="Q45" s="2" t="str">
        <f t="shared" si="8"/>
        <v/>
      </c>
      <c r="R45" s="2" t="str">
        <f t="shared" si="9"/>
        <v/>
      </c>
      <c r="S45" s="10" t="str">
        <f t="shared" si="10"/>
        <v/>
      </c>
      <c r="T45" s="10" t="str">
        <f t="shared" si="11"/>
        <v/>
      </c>
    </row>
    <row r="46" spans="1:20">
      <c r="A46" s="2" t="str">
        <f>IF('01_Forms_Raw'!A46="","",'01_Forms_Raw'!A46)</f>
        <v/>
      </c>
      <c r="B46" s="9" t="str">
        <f>IF('01_Forms_Raw'!B46="","",'01_Forms_Raw'!B46)</f>
        <v/>
      </c>
      <c r="C46" s="9" t="str">
        <f>IF('01_Forms_Raw'!H46="","",'01_Forms_Raw'!H46)</f>
        <v/>
      </c>
      <c r="D46" s="2" t="str">
        <f>IF('01_Forms_Raw'!D46="","",'01_Forms_Raw'!D46)</f>
        <v/>
      </c>
      <c r="E46" s="2" t="str">
        <f>IF('01_Forms_Raw'!E46="","",'01_Forms_Raw'!E46)</f>
        <v/>
      </c>
      <c r="F46" s="2" t="str">
        <f>IF('01_Forms_Raw'!F46="","",'01_Forms_Raw'!F46)</f>
        <v/>
      </c>
      <c r="G46" s="2" t="str">
        <f>IF('01_Forms_Raw'!G46="","",'01_Forms_Raw'!G46)</f>
        <v/>
      </c>
      <c r="H46" s="2" t="str">
        <f>IF('01_Forms_Raw'!I46="","",'01_Forms_Raw'!I46)</f>
        <v/>
      </c>
      <c r="I46" s="10" t="str">
        <f>IF('01_Forms_Raw'!J46="","",'01_Forms_Raw'!J46)</f>
        <v/>
      </c>
      <c r="J46" s="2" t="str">
        <f>IF('01_Forms_Raw'!K46="","",VALUE('01_Forms_Raw'!K46))</f>
        <v/>
      </c>
      <c r="K46" s="2" t="str">
        <f>IF('01_Forms_Raw'!L46="","",'01_Forms_Raw'!L46)</f>
        <v/>
      </c>
      <c r="L46" s="2" t="str">
        <f>IF('01_Forms_Raw'!M46="","",'01_Forms_Raw'!M46)</f>
        <v/>
      </c>
      <c r="M46" s="10"/>
      <c r="N46" s="10"/>
      <c r="O46" s="10" t="str">
        <f t="shared" si="6"/>
        <v/>
      </c>
      <c r="P46" s="10" t="str">
        <f t="shared" si="7"/>
        <v/>
      </c>
      <c r="Q46" s="2" t="str">
        <f t="shared" si="8"/>
        <v/>
      </c>
      <c r="R46" s="2" t="str">
        <f t="shared" si="9"/>
        <v/>
      </c>
      <c r="S46" s="10" t="str">
        <f t="shared" si="10"/>
        <v/>
      </c>
      <c r="T46" s="10" t="str">
        <f t="shared" si="11"/>
        <v/>
      </c>
    </row>
    <row r="47" spans="1:20">
      <c r="A47" s="2" t="str">
        <f>IF('01_Forms_Raw'!A47="","",'01_Forms_Raw'!A47)</f>
        <v/>
      </c>
      <c r="B47" s="9" t="str">
        <f>IF('01_Forms_Raw'!B47="","",'01_Forms_Raw'!B47)</f>
        <v/>
      </c>
      <c r="C47" s="9" t="str">
        <f>IF('01_Forms_Raw'!H47="","",'01_Forms_Raw'!H47)</f>
        <v/>
      </c>
      <c r="D47" s="2" t="str">
        <f>IF('01_Forms_Raw'!D47="","",'01_Forms_Raw'!D47)</f>
        <v/>
      </c>
      <c r="E47" s="2" t="str">
        <f>IF('01_Forms_Raw'!E47="","",'01_Forms_Raw'!E47)</f>
        <v/>
      </c>
      <c r="F47" s="2" t="str">
        <f>IF('01_Forms_Raw'!F47="","",'01_Forms_Raw'!F47)</f>
        <v/>
      </c>
      <c r="G47" s="2" t="str">
        <f>IF('01_Forms_Raw'!G47="","",'01_Forms_Raw'!G47)</f>
        <v/>
      </c>
      <c r="H47" s="2" t="str">
        <f>IF('01_Forms_Raw'!I47="","",'01_Forms_Raw'!I47)</f>
        <v/>
      </c>
      <c r="I47" s="10" t="str">
        <f>IF('01_Forms_Raw'!J47="","",'01_Forms_Raw'!J47)</f>
        <v/>
      </c>
      <c r="J47" s="2" t="str">
        <f>IF('01_Forms_Raw'!K47="","",VALUE('01_Forms_Raw'!K47))</f>
        <v/>
      </c>
      <c r="K47" s="2" t="str">
        <f>IF('01_Forms_Raw'!L47="","",'01_Forms_Raw'!L47)</f>
        <v/>
      </c>
      <c r="L47" s="2" t="str">
        <f>IF('01_Forms_Raw'!M47="","",'01_Forms_Raw'!M47)</f>
        <v/>
      </c>
      <c r="M47" s="10"/>
      <c r="N47" s="10"/>
      <c r="O47" s="10" t="str">
        <f t="shared" si="6"/>
        <v/>
      </c>
      <c r="P47" s="10" t="str">
        <f t="shared" si="7"/>
        <v/>
      </c>
      <c r="Q47" s="2" t="str">
        <f t="shared" si="8"/>
        <v/>
      </c>
      <c r="R47" s="2" t="str">
        <f t="shared" si="9"/>
        <v/>
      </c>
      <c r="S47" s="10" t="str">
        <f t="shared" si="10"/>
        <v/>
      </c>
      <c r="T47" s="10" t="str">
        <f t="shared" si="11"/>
        <v/>
      </c>
    </row>
    <row r="48" spans="1:20">
      <c r="A48" s="2" t="str">
        <f>IF('01_Forms_Raw'!A48="","",'01_Forms_Raw'!A48)</f>
        <v/>
      </c>
      <c r="B48" s="9" t="str">
        <f>IF('01_Forms_Raw'!B48="","",'01_Forms_Raw'!B48)</f>
        <v/>
      </c>
      <c r="C48" s="9" t="str">
        <f>IF('01_Forms_Raw'!H48="","",'01_Forms_Raw'!H48)</f>
        <v/>
      </c>
      <c r="D48" s="2" t="str">
        <f>IF('01_Forms_Raw'!D48="","",'01_Forms_Raw'!D48)</f>
        <v/>
      </c>
      <c r="E48" s="2" t="str">
        <f>IF('01_Forms_Raw'!E48="","",'01_Forms_Raw'!E48)</f>
        <v/>
      </c>
      <c r="F48" s="2" t="str">
        <f>IF('01_Forms_Raw'!F48="","",'01_Forms_Raw'!F48)</f>
        <v/>
      </c>
      <c r="G48" s="2" t="str">
        <f>IF('01_Forms_Raw'!G48="","",'01_Forms_Raw'!G48)</f>
        <v/>
      </c>
      <c r="H48" s="2" t="str">
        <f>IF('01_Forms_Raw'!I48="","",'01_Forms_Raw'!I48)</f>
        <v/>
      </c>
      <c r="I48" s="10" t="str">
        <f>IF('01_Forms_Raw'!J48="","",'01_Forms_Raw'!J48)</f>
        <v/>
      </c>
      <c r="J48" s="2" t="str">
        <f>IF('01_Forms_Raw'!K48="","",VALUE('01_Forms_Raw'!K48))</f>
        <v/>
      </c>
      <c r="K48" s="2" t="str">
        <f>IF('01_Forms_Raw'!L48="","",'01_Forms_Raw'!L48)</f>
        <v/>
      </c>
      <c r="L48" s="2" t="str">
        <f>IF('01_Forms_Raw'!M48="","",'01_Forms_Raw'!M48)</f>
        <v/>
      </c>
      <c r="M48" s="10"/>
      <c r="N48" s="10"/>
      <c r="O48" s="10" t="str">
        <f t="shared" si="6"/>
        <v/>
      </c>
      <c r="P48" s="10" t="str">
        <f t="shared" si="7"/>
        <v/>
      </c>
      <c r="Q48" s="2" t="str">
        <f t="shared" si="8"/>
        <v/>
      </c>
      <c r="R48" s="2" t="str">
        <f t="shared" si="9"/>
        <v/>
      </c>
      <c r="S48" s="10" t="str">
        <f t="shared" si="10"/>
        <v/>
      </c>
      <c r="T48" s="10" t="str">
        <f t="shared" si="11"/>
        <v/>
      </c>
    </row>
    <row r="49" spans="1:20">
      <c r="A49" s="2" t="str">
        <f>IF('01_Forms_Raw'!A49="","",'01_Forms_Raw'!A49)</f>
        <v/>
      </c>
      <c r="B49" s="9" t="str">
        <f>IF('01_Forms_Raw'!B49="","",'01_Forms_Raw'!B49)</f>
        <v/>
      </c>
      <c r="C49" s="9" t="str">
        <f>IF('01_Forms_Raw'!H49="","",'01_Forms_Raw'!H49)</f>
        <v/>
      </c>
      <c r="D49" s="2" t="str">
        <f>IF('01_Forms_Raw'!D49="","",'01_Forms_Raw'!D49)</f>
        <v/>
      </c>
      <c r="E49" s="2" t="str">
        <f>IF('01_Forms_Raw'!E49="","",'01_Forms_Raw'!E49)</f>
        <v/>
      </c>
      <c r="F49" s="2" t="str">
        <f>IF('01_Forms_Raw'!F49="","",'01_Forms_Raw'!F49)</f>
        <v/>
      </c>
      <c r="G49" s="2" t="str">
        <f>IF('01_Forms_Raw'!G49="","",'01_Forms_Raw'!G49)</f>
        <v/>
      </c>
      <c r="H49" s="2" t="str">
        <f>IF('01_Forms_Raw'!I49="","",'01_Forms_Raw'!I49)</f>
        <v/>
      </c>
      <c r="I49" s="10" t="str">
        <f>IF('01_Forms_Raw'!J49="","",'01_Forms_Raw'!J49)</f>
        <v/>
      </c>
      <c r="J49" s="2" t="str">
        <f>IF('01_Forms_Raw'!K49="","",VALUE('01_Forms_Raw'!K49))</f>
        <v/>
      </c>
      <c r="K49" s="2" t="str">
        <f>IF('01_Forms_Raw'!L49="","",'01_Forms_Raw'!L49)</f>
        <v/>
      </c>
      <c r="L49" s="2" t="str">
        <f>IF('01_Forms_Raw'!M49="","",'01_Forms_Raw'!M49)</f>
        <v/>
      </c>
      <c r="M49" s="10"/>
      <c r="N49" s="10"/>
      <c r="O49" s="10" t="str">
        <f t="shared" si="6"/>
        <v/>
      </c>
      <c r="P49" s="10" t="str">
        <f t="shared" si="7"/>
        <v/>
      </c>
      <c r="Q49" s="2" t="str">
        <f t="shared" si="8"/>
        <v/>
      </c>
      <c r="R49" s="2" t="str">
        <f t="shared" si="9"/>
        <v/>
      </c>
      <c r="S49" s="10" t="str">
        <f t="shared" si="10"/>
        <v/>
      </c>
      <c r="T49" s="10" t="str">
        <f t="shared" si="11"/>
        <v/>
      </c>
    </row>
    <row r="50" spans="1:20">
      <c r="A50" s="2" t="str">
        <f>IF('01_Forms_Raw'!A50="","",'01_Forms_Raw'!A50)</f>
        <v/>
      </c>
      <c r="B50" s="9" t="str">
        <f>IF('01_Forms_Raw'!B50="","",'01_Forms_Raw'!B50)</f>
        <v/>
      </c>
      <c r="C50" s="9" t="str">
        <f>IF('01_Forms_Raw'!H50="","",'01_Forms_Raw'!H50)</f>
        <v/>
      </c>
      <c r="D50" s="2" t="str">
        <f>IF('01_Forms_Raw'!D50="","",'01_Forms_Raw'!D50)</f>
        <v/>
      </c>
      <c r="E50" s="2" t="str">
        <f>IF('01_Forms_Raw'!E50="","",'01_Forms_Raw'!E50)</f>
        <v/>
      </c>
      <c r="F50" s="2" t="str">
        <f>IF('01_Forms_Raw'!F50="","",'01_Forms_Raw'!F50)</f>
        <v/>
      </c>
      <c r="G50" s="2" t="str">
        <f>IF('01_Forms_Raw'!G50="","",'01_Forms_Raw'!G50)</f>
        <v/>
      </c>
      <c r="H50" s="2" t="str">
        <f>IF('01_Forms_Raw'!I50="","",'01_Forms_Raw'!I50)</f>
        <v/>
      </c>
      <c r="I50" s="10" t="str">
        <f>IF('01_Forms_Raw'!J50="","",'01_Forms_Raw'!J50)</f>
        <v/>
      </c>
      <c r="J50" s="2" t="str">
        <f>IF('01_Forms_Raw'!K50="","",VALUE('01_Forms_Raw'!K50))</f>
        <v/>
      </c>
      <c r="K50" s="2" t="str">
        <f>IF('01_Forms_Raw'!L50="","",'01_Forms_Raw'!L50)</f>
        <v/>
      </c>
      <c r="L50" s="2" t="str">
        <f>IF('01_Forms_Raw'!M50="","",'01_Forms_Raw'!M50)</f>
        <v/>
      </c>
      <c r="M50" s="10"/>
      <c r="N50" s="10"/>
      <c r="O50" s="10" t="str">
        <f t="shared" si="6"/>
        <v/>
      </c>
      <c r="P50" s="10" t="str">
        <f t="shared" si="7"/>
        <v/>
      </c>
      <c r="Q50" s="2" t="str">
        <f t="shared" si="8"/>
        <v/>
      </c>
      <c r="R50" s="2" t="str">
        <f t="shared" si="9"/>
        <v/>
      </c>
      <c r="S50" s="10" t="str">
        <f t="shared" si="10"/>
        <v/>
      </c>
      <c r="T50" s="10" t="str">
        <f t="shared" si="11"/>
        <v/>
      </c>
    </row>
    <row r="51" spans="1:20">
      <c r="A51" s="2" t="str">
        <f>IF('01_Forms_Raw'!A51="","",'01_Forms_Raw'!A51)</f>
        <v/>
      </c>
      <c r="B51" s="9" t="str">
        <f>IF('01_Forms_Raw'!B51="","",'01_Forms_Raw'!B51)</f>
        <v/>
      </c>
      <c r="C51" s="9" t="str">
        <f>IF('01_Forms_Raw'!H51="","",'01_Forms_Raw'!H51)</f>
        <v/>
      </c>
      <c r="D51" s="2" t="str">
        <f>IF('01_Forms_Raw'!D51="","",'01_Forms_Raw'!D51)</f>
        <v/>
      </c>
      <c r="E51" s="2" t="str">
        <f>IF('01_Forms_Raw'!E51="","",'01_Forms_Raw'!E51)</f>
        <v/>
      </c>
      <c r="F51" s="2" t="str">
        <f>IF('01_Forms_Raw'!F51="","",'01_Forms_Raw'!F51)</f>
        <v/>
      </c>
      <c r="G51" s="2" t="str">
        <f>IF('01_Forms_Raw'!G51="","",'01_Forms_Raw'!G51)</f>
        <v/>
      </c>
      <c r="H51" s="2" t="str">
        <f>IF('01_Forms_Raw'!I51="","",'01_Forms_Raw'!I51)</f>
        <v/>
      </c>
      <c r="I51" s="10" t="str">
        <f>IF('01_Forms_Raw'!J51="","",'01_Forms_Raw'!J51)</f>
        <v/>
      </c>
      <c r="J51" s="2" t="str">
        <f>IF('01_Forms_Raw'!K51="","",VALUE('01_Forms_Raw'!K51))</f>
        <v/>
      </c>
      <c r="K51" s="2" t="str">
        <f>IF('01_Forms_Raw'!L51="","",'01_Forms_Raw'!L51)</f>
        <v/>
      </c>
      <c r="L51" s="2" t="str">
        <f>IF('01_Forms_Raw'!M51="","",'01_Forms_Raw'!M51)</f>
        <v/>
      </c>
      <c r="M51" s="10"/>
      <c r="N51" s="10"/>
      <c r="O51" s="10" t="str">
        <f t="shared" si="6"/>
        <v/>
      </c>
      <c r="P51" s="10" t="str">
        <f t="shared" si="7"/>
        <v/>
      </c>
      <c r="Q51" s="2" t="str">
        <f t="shared" si="8"/>
        <v/>
      </c>
      <c r="R51" s="2" t="str">
        <f t="shared" si="9"/>
        <v/>
      </c>
      <c r="S51" s="10" t="str">
        <f t="shared" si="10"/>
        <v/>
      </c>
      <c r="T51" s="10" t="str">
        <f t="shared" si="11"/>
        <v/>
      </c>
    </row>
    <row r="52" spans="1:20">
      <c r="A52" s="2" t="str">
        <f>IF('01_Forms_Raw'!A52="","",'01_Forms_Raw'!A52)</f>
        <v/>
      </c>
      <c r="B52" s="9" t="str">
        <f>IF('01_Forms_Raw'!B52="","",'01_Forms_Raw'!B52)</f>
        <v/>
      </c>
      <c r="C52" s="9" t="str">
        <f>IF('01_Forms_Raw'!H52="","",'01_Forms_Raw'!H52)</f>
        <v/>
      </c>
      <c r="D52" s="2" t="str">
        <f>IF('01_Forms_Raw'!D52="","",'01_Forms_Raw'!D52)</f>
        <v/>
      </c>
      <c r="E52" s="2" t="str">
        <f>IF('01_Forms_Raw'!E52="","",'01_Forms_Raw'!E52)</f>
        <v/>
      </c>
      <c r="F52" s="2" t="str">
        <f>IF('01_Forms_Raw'!F52="","",'01_Forms_Raw'!F52)</f>
        <v/>
      </c>
      <c r="G52" s="2" t="str">
        <f>IF('01_Forms_Raw'!G52="","",'01_Forms_Raw'!G52)</f>
        <v/>
      </c>
      <c r="H52" s="2" t="str">
        <f>IF('01_Forms_Raw'!I52="","",'01_Forms_Raw'!I52)</f>
        <v/>
      </c>
      <c r="I52" s="10" t="str">
        <f>IF('01_Forms_Raw'!J52="","",'01_Forms_Raw'!J52)</f>
        <v/>
      </c>
      <c r="J52" s="2" t="str">
        <f>IF('01_Forms_Raw'!K52="","",VALUE('01_Forms_Raw'!K52))</f>
        <v/>
      </c>
      <c r="K52" s="2" t="str">
        <f>IF('01_Forms_Raw'!L52="","",'01_Forms_Raw'!L52)</f>
        <v/>
      </c>
      <c r="L52" s="2" t="str">
        <f>IF('01_Forms_Raw'!M52="","",'01_Forms_Raw'!M52)</f>
        <v/>
      </c>
      <c r="M52" s="10"/>
      <c r="N52" s="10"/>
      <c r="O52" s="10" t="str">
        <f t="shared" si="6"/>
        <v/>
      </c>
      <c r="P52" s="10" t="str">
        <f t="shared" si="7"/>
        <v/>
      </c>
      <c r="Q52" s="2" t="str">
        <f t="shared" si="8"/>
        <v/>
      </c>
      <c r="R52" s="2" t="str">
        <f t="shared" si="9"/>
        <v/>
      </c>
      <c r="S52" s="10" t="str">
        <f t="shared" si="10"/>
        <v/>
      </c>
      <c r="T52" s="10" t="str">
        <f t="shared" si="11"/>
        <v/>
      </c>
    </row>
    <row r="53" spans="1:20">
      <c r="A53" s="2" t="str">
        <f>IF('01_Forms_Raw'!A53="","",'01_Forms_Raw'!A53)</f>
        <v/>
      </c>
      <c r="B53" s="9" t="str">
        <f>IF('01_Forms_Raw'!B53="","",'01_Forms_Raw'!B53)</f>
        <v/>
      </c>
      <c r="C53" s="9" t="str">
        <f>IF('01_Forms_Raw'!H53="","",'01_Forms_Raw'!H53)</f>
        <v/>
      </c>
      <c r="D53" s="2" t="str">
        <f>IF('01_Forms_Raw'!D53="","",'01_Forms_Raw'!D53)</f>
        <v/>
      </c>
      <c r="E53" s="2" t="str">
        <f>IF('01_Forms_Raw'!E53="","",'01_Forms_Raw'!E53)</f>
        <v/>
      </c>
      <c r="F53" s="2" t="str">
        <f>IF('01_Forms_Raw'!F53="","",'01_Forms_Raw'!F53)</f>
        <v/>
      </c>
      <c r="G53" s="2" t="str">
        <f>IF('01_Forms_Raw'!G53="","",'01_Forms_Raw'!G53)</f>
        <v/>
      </c>
      <c r="H53" s="2" t="str">
        <f>IF('01_Forms_Raw'!I53="","",'01_Forms_Raw'!I53)</f>
        <v/>
      </c>
      <c r="I53" s="10" t="str">
        <f>IF('01_Forms_Raw'!J53="","",'01_Forms_Raw'!J53)</f>
        <v/>
      </c>
      <c r="J53" s="2" t="str">
        <f>IF('01_Forms_Raw'!K53="","",VALUE('01_Forms_Raw'!K53))</f>
        <v/>
      </c>
      <c r="K53" s="2" t="str">
        <f>IF('01_Forms_Raw'!L53="","",'01_Forms_Raw'!L53)</f>
        <v/>
      </c>
      <c r="L53" s="2" t="str">
        <f>IF('01_Forms_Raw'!M53="","",'01_Forms_Raw'!M53)</f>
        <v/>
      </c>
      <c r="M53" s="10"/>
      <c r="N53" s="10"/>
      <c r="O53" s="10" t="str">
        <f t="shared" si="6"/>
        <v/>
      </c>
      <c r="P53" s="10" t="str">
        <f t="shared" si="7"/>
        <v/>
      </c>
      <c r="Q53" s="2" t="str">
        <f t="shared" si="8"/>
        <v/>
      </c>
      <c r="R53" s="2" t="str">
        <f t="shared" si="9"/>
        <v/>
      </c>
      <c r="S53" s="10" t="str">
        <f t="shared" si="10"/>
        <v/>
      </c>
      <c r="T53" s="10" t="str">
        <f t="shared" si="11"/>
        <v/>
      </c>
    </row>
    <row r="54" spans="1:20">
      <c r="A54" s="2" t="str">
        <f>IF('01_Forms_Raw'!A54="","",'01_Forms_Raw'!A54)</f>
        <v/>
      </c>
      <c r="B54" s="9" t="str">
        <f>IF('01_Forms_Raw'!B54="","",'01_Forms_Raw'!B54)</f>
        <v/>
      </c>
      <c r="C54" s="9" t="str">
        <f>IF('01_Forms_Raw'!H54="","",'01_Forms_Raw'!H54)</f>
        <v/>
      </c>
      <c r="D54" s="2" t="str">
        <f>IF('01_Forms_Raw'!D54="","",'01_Forms_Raw'!D54)</f>
        <v/>
      </c>
      <c r="E54" s="2" t="str">
        <f>IF('01_Forms_Raw'!E54="","",'01_Forms_Raw'!E54)</f>
        <v/>
      </c>
      <c r="F54" s="2" t="str">
        <f>IF('01_Forms_Raw'!F54="","",'01_Forms_Raw'!F54)</f>
        <v/>
      </c>
      <c r="G54" s="2" t="str">
        <f>IF('01_Forms_Raw'!G54="","",'01_Forms_Raw'!G54)</f>
        <v/>
      </c>
      <c r="H54" s="2" t="str">
        <f>IF('01_Forms_Raw'!I54="","",'01_Forms_Raw'!I54)</f>
        <v/>
      </c>
      <c r="I54" s="10" t="str">
        <f>IF('01_Forms_Raw'!J54="","",'01_Forms_Raw'!J54)</f>
        <v/>
      </c>
      <c r="J54" s="2" t="str">
        <f>IF('01_Forms_Raw'!K54="","",VALUE('01_Forms_Raw'!K54))</f>
        <v/>
      </c>
      <c r="K54" s="2" t="str">
        <f>IF('01_Forms_Raw'!L54="","",'01_Forms_Raw'!L54)</f>
        <v/>
      </c>
      <c r="L54" s="2" t="str">
        <f>IF('01_Forms_Raw'!M54="","",'01_Forms_Raw'!M54)</f>
        <v/>
      </c>
      <c r="M54" s="10"/>
      <c r="N54" s="10"/>
      <c r="O54" s="10" t="str">
        <f t="shared" si="6"/>
        <v/>
      </c>
      <c r="P54" s="10" t="str">
        <f t="shared" si="7"/>
        <v/>
      </c>
      <c r="Q54" s="2" t="str">
        <f t="shared" si="8"/>
        <v/>
      </c>
      <c r="R54" s="2" t="str">
        <f t="shared" si="9"/>
        <v/>
      </c>
      <c r="S54" s="10" t="str">
        <f t="shared" si="10"/>
        <v/>
      </c>
      <c r="T54" s="10" t="str">
        <f t="shared" si="11"/>
        <v/>
      </c>
    </row>
    <row r="55" spans="1:20">
      <c r="A55" s="2" t="str">
        <f>IF('01_Forms_Raw'!A55="","",'01_Forms_Raw'!A55)</f>
        <v/>
      </c>
      <c r="B55" s="9" t="str">
        <f>IF('01_Forms_Raw'!B55="","",'01_Forms_Raw'!B55)</f>
        <v/>
      </c>
      <c r="C55" s="9" t="str">
        <f>IF('01_Forms_Raw'!H55="","",'01_Forms_Raw'!H55)</f>
        <v/>
      </c>
      <c r="D55" s="2" t="str">
        <f>IF('01_Forms_Raw'!D55="","",'01_Forms_Raw'!D55)</f>
        <v/>
      </c>
      <c r="E55" s="2" t="str">
        <f>IF('01_Forms_Raw'!E55="","",'01_Forms_Raw'!E55)</f>
        <v/>
      </c>
      <c r="F55" s="2" t="str">
        <f>IF('01_Forms_Raw'!F55="","",'01_Forms_Raw'!F55)</f>
        <v/>
      </c>
      <c r="G55" s="2" t="str">
        <f>IF('01_Forms_Raw'!G55="","",'01_Forms_Raw'!G55)</f>
        <v/>
      </c>
      <c r="H55" s="2" t="str">
        <f>IF('01_Forms_Raw'!I55="","",'01_Forms_Raw'!I55)</f>
        <v/>
      </c>
      <c r="I55" s="10" t="str">
        <f>IF('01_Forms_Raw'!J55="","",'01_Forms_Raw'!J55)</f>
        <v/>
      </c>
      <c r="J55" s="2" t="str">
        <f>IF('01_Forms_Raw'!K55="","",VALUE('01_Forms_Raw'!K55))</f>
        <v/>
      </c>
      <c r="K55" s="2" t="str">
        <f>IF('01_Forms_Raw'!L55="","",'01_Forms_Raw'!L55)</f>
        <v/>
      </c>
      <c r="L55" s="2" t="str">
        <f>IF('01_Forms_Raw'!M55="","",'01_Forms_Raw'!M55)</f>
        <v/>
      </c>
      <c r="M55" s="10"/>
      <c r="N55" s="10"/>
      <c r="O55" s="10" t="str">
        <f t="shared" si="6"/>
        <v/>
      </c>
      <c r="P55" s="10" t="str">
        <f t="shared" si="7"/>
        <v/>
      </c>
      <c r="Q55" s="2" t="str">
        <f t="shared" si="8"/>
        <v/>
      </c>
      <c r="R55" s="2" t="str">
        <f t="shared" si="9"/>
        <v/>
      </c>
      <c r="S55" s="10" t="str">
        <f t="shared" si="10"/>
        <v/>
      </c>
      <c r="T55" s="10" t="str">
        <f t="shared" si="11"/>
        <v/>
      </c>
    </row>
    <row r="56" spans="1:20">
      <c r="A56" s="2" t="str">
        <f>IF('01_Forms_Raw'!A56="","",'01_Forms_Raw'!A56)</f>
        <v/>
      </c>
      <c r="B56" s="9" t="str">
        <f>IF('01_Forms_Raw'!B56="","",'01_Forms_Raw'!B56)</f>
        <v/>
      </c>
      <c r="C56" s="9" t="str">
        <f>IF('01_Forms_Raw'!H56="","",'01_Forms_Raw'!H56)</f>
        <v/>
      </c>
      <c r="D56" s="2" t="str">
        <f>IF('01_Forms_Raw'!D56="","",'01_Forms_Raw'!D56)</f>
        <v/>
      </c>
      <c r="E56" s="2" t="str">
        <f>IF('01_Forms_Raw'!E56="","",'01_Forms_Raw'!E56)</f>
        <v/>
      </c>
      <c r="F56" s="2" t="str">
        <f>IF('01_Forms_Raw'!F56="","",'01_Forms_Raw'!F56)</f>
        <v/>
      </c>
      <c r="G56" s="2" t="str">
        <f>IF('01_Forms_Raw'!G56="","",'01_Forms_Raw'!G56)</f>
        <v/>
      </c>
      <c r="H56" s="2" t="str">
        <f>IF('01_Forms_Raw'!I56="","",'01_Forms_Raw'!I56)</f>
        <v/>
      </c>
      <c r="I56" s="10" t="str">
        <f>IF('01_Forms_Raw'!J56="","",'01_Forms_Raw'!J56)</f>
        <v/>
      </c>
      <c r="J56" s="2" t="str">
        <f>IF('01_Forms_Raw'!K56="","",VALUE('01_Forms_Raw'!K56))</f>
        <v/>
      </c>
      <c r="K56" s="2" t="str">
        <f>IF('01_Forms_Raw'!L56="","",'01_Forms_Raw'!L56)</f>
        <v/>
      </c>
      <c r="L56" s="2" t="str">
        <f>IF('01_Forms_Raw'!M56="","",'01_Forms_Raw'!M56)</f>
        <v/>
      </c>
      <c r="M56" s="10"/>
      <c r="N56" s="10"/>
      <c r="O56" s="10" t="str">
        <f t="shared" si="6"/>
        <v/>
      </c>
      <c r="P56" s="10" t="str">
        <f t="shared" si="7"/>
        <v/>
      </c>
      <c r="Q56" s="2" t="str">
        <f t="shared" si="8"/>
        <v/>
      </c>
      <c r="R56" s="2" t="str">
        <f t="shared" si="9"/>
        <v/>
      </c>
      <c r="S56" s="10" t="str">
        <f t="shared" si="10"/>
        <v/>
      </c>
      <c r="T56" s="10" t="str">
        <f t="shared" si="11"/>
        <v/>
      </c>
    </row>
    <row r="57" spans="1:20">
      <c r="A57" s="2" t="str">
        <f>IF('01_Forms_Raw'!A57="","",'01_Forms_Raw'!A57)</f>
        <v/>
      </c>
      <c r="B57" s="9" t="str">
        <f>IF('01_Forms_Raw'!B57="","",'01_Forms_Raw'!B57)</f>
        <v/>
      </c>
      <c r="C57" s="9" t="str">
        <f>IF('01_Forms_Raw'!H57="","",'01_Forms_Raw'!H57)</f>
        <v/>
      </c>
      <c r="D57" s="2" t="str">
        <f>IF('01_Forms_Raw'!D57="","",'01_Forms_Raw'!D57)</f>
        <v/>
      </c>
      <c r="E57" s="2" t="str">
        <f>IF('01_Forms_Raw'!E57="","",'01_Forms_Raw'!E57)</f>
        <v/>
      </c>
      <c r="F57" s="2" t="str">
        <f>IF('01_Forms_Raw'!F57="","",'01_Forms_Raw'!F57)</f>
        <v/>
      </c>
      <c r="G57" s="2" t="str">
        <f>IF('01_Forms_Raw'!G57="","",'01_Forms_Raw'!G57)</f>
        <v/>
      </c>
      <c r="H57" s="2" t="str">
        <f>IF('01_Forms_Raw'!I57="","",'01_Forms_Raw'!I57)</f>
        <v/>
      </c>
      <c r="I57" s="10" t="str">
        <f>IF('01_Forms_Raw'!J57="","",'01_Forms_Raw'!J57)</f>
        <v/>
      </c>
      <c r="J57" s="2" t="str">
        <f>IF('01_Forms_Raw'!K57="","",VALUE('01_Forms_Raw'!K57))</f>
        <v/>
      </c>
      <c r="K57" s="2" t="str">
        <f>IF('01_Forms_Raw'!L57="","",'01_Forms_Raw'!L57)</f>
        <v/>
      </c>
      <c r="L57" s="2" t="str">
        <f>IF('01_Forms_Raw'!M57="","",'01_Forms_Raw'!M57)</f>
        <v/>
      </c>
      <c r="M57" s="10"/>
      <c r="N57" s="10"/>
      <c r="O57" s="10" t="str">
        <f t="shared" si="6"/>
        <v/>
      </c>
      <c r="P57" s="10" t="str">
        <f t="shared" si="7"/>
        <v/>
      </c>
      <c r="Q57" s="2" t="str">
        <f t="shared" si="8"/>
        <v/>
      </c>
      <c r="R57" s="2" t="str">
        <f t="shared" si="9"/>
        <v/>
      </c>
      <c r="S57" s="10" t="str">
        <f t="shared" si="10"/>
        <v/>
      </c>
      <c r="T57" s="10" t="str">
        <f t="shared" si="11"/>
        <v/>
      </c>
    </row>
    <row r="58" spans="1:20">
      <c r="A58" s="2" t="str">
        <f>IF('01_Forms_Raw'!A58="","",'01_Forms_Raw'!A58)</f>
        <v/>
      </c>
      <c r="B58" s="9" t="str">
        <f>IF('01_Forms_Raw'!B58="","",'01_Forms_Raw'!B58)</f>
        <v/>
      </c>
      <c r="C58" s="9" t="str">
        <f>IF('01_Forms_Raw'!H58="","",'01_Forms_Raw'!H58)</f>
        <v/>
      </c>
      <c r="D58" s="2" t="str">
        <f>IF('01_Forms_Raw'!D58="","",'01_Forms_Raw'!D58)</f>
        <v/>
      </c>
      <c r="E58" s="2" t="str">
        <f>IF('01_Forms_Raw'!E58="","",'01_Forms_Raw'!E58)</f>
        <v/>
      </c>
      <c r="F58" s="2" t="str">
        <f>IF('01_Forms_Raw'!F58="","",'01_Forms_Raw'!F58)</f>
        <v/>
      </c>
      <c r="G58" s="2" t="str">
        <f>IF('01_Forms_Raw'!G58="","",'01_Forms_Raw'!G58)</f>
        <v/>
      </c>
      <c r="H58" s="2" t="str">
        <f>IF('01_Forms_Raw'!I58="","",'01_Forms_Raw'!I58)</f>
        <v/>
      </c>
      <c r="I58" s="10" t="str">
        <f>IF('01_Forms_Raw'!J58="","",'01_Forms_Raw'!J58)</f>
        <v/>
      </c>
      <c r="J58" s="2" t="str">
        <f>IF('01_Forms_Raw'!K58="","",VALUE('01_Forms_Raw'!K58))</f>
        <v/>
      </c>
      <c r="K58" s="2" t="str">
        <f>IF('01_Forms_Raw'!L58="","",'01_Forms_Raw'!L58)</f>
        <v/>
      </c>
      <c r="L58" s="2" t="str">
        <f>IF('01_Forms_Raw'!M58="","",'01_Forms_Raw'!M58)</f>
        <v/>
      </c>
      <c r="M58" s="10"/>
      <c r="N58" s="10"/>
      <c r="O58" s="10" t="str">
        <f t="shared" si="6"/>
        <v/>
      </c>
      <c r="P58" s="10" t="str">
        <f t="shared" si="7"/>
        <v/>
      </c>
      <c r="Q58" s="2" t="str">
        <f t="shared" si="8"/>
        <v/>
      </c>
      <c r="R58" s="2" t="str">
        <f t="shared" si="9"/>
        <v/>
      </c>
      <c r="S58" s="10" t="str">
        <f t="shared" si="10"/>
        <v/>
      </c>
      <c r="T58" s="10" t="str">
        <f t="shared" si="11"/>
        <v/>
      </c>
    </row>
    <row r="59" spans="1:20">
      <c r="A59" s="2" t="str">
        <f>IF('01_Forms_Raw'!A59="","",'01_Forms_Raw'!A59)</f>
        <v/>
      </c>
      <c r="B59" s="9" t="str">
        <f>IF('01_Forms_Raw'!B59="","",'01_Forms_Raw'!B59)</f>
        <v/>
      </c>
      <c r="C59" s="9" t="str">
        <f>IF('01_Forms_Raw'!H59="","",'01_Forms_Raw'!H59)</f>
        <v/>
      </c>
      <c r="D59" s="2" t="str">
        <f>IF('01_Forms_Raw'!D59="","",'01_Forms_Raw'!D59)</f>
        <v/>
      </c>
      <c r="E59" s="2" t="str">
        <f>IF('01_Forms_Raw'!E59="","",'01_Forms_Raw'!E59)</f>
        <v/>
      </c>
      <c r="F59" s="2" t="str">
        <f>IF('01_Forms_Raw'!F59="","",'01_Forms_Raw'!F59)</f>
        <v/>
      </c>
      <c r="G59" s="2" t="str">
        <f>IF('01_Forms_Raw'!G59="","",'01_Forms_Raw'!G59)</f>
        <v/>
      </c>
      <c r="H59" s="2" t="str">
        <f>IF('01_Forms_Raw'!I59="","",'01_Forms_Raw'!I59)</f>
        <v/>
      </c>
      <c r="I59" s="10" t="str">
        <f>IF('01_Forms_Raw'!J59="","",'01_Forms_Raw'!J59)</f>
        <v/>
      </c>
      <c r="J59" s="2" t="str">
        <f>IF('01_Forms_Raw'!K59="","",VALUE('01_Forms_Raw'!K59))</f>
        <v/>
      </c>
      <c r="K59" s="2" t="str">
        <f>IF('01_Forms_Raw'!L59="","",'01_Forms_Raw'!L59)</f>
        <v/>
      </c>
      <c r="L59" s="2" t="str">
        <f>IF('01_Forms_Raw'!M59="","",'01_Forms_Raw'!M59)</f>
        <v/>
      </c>
      <c r="M59" s="10"/>
      <c r="N59" s="10"/>
      <c r="O59" s="10" t="str">
        <f t="shared" si="6"/>
        <v/>
      </c>
      <c r="P59" s="10" t="str">
        <f t="shared" si="7"/>
        <v/>
      </c>
      <c r="Q59" s="2" t="str">
        <f t="shared" si="8"/>
        <v/>
      </c>
      <c r="R59" s="2" t="str">
        <f t="shared" si="9"/>
        <v/>
      </c>
      <c r="S59" s="10" t="str">
        <f t="shared" si="10"/>
        <v/>
      </c>
      <c r="T59" s="10" t="str">
        <f t="shared" si="11"/>
        <v/>
      </c>
    </row>
    <row r="60" spans="1:20">
      <c r="A60" s="2" t="str">
        <f>IF('01_Forms_Raw'!A60="","",'01_Forms_Raw'!A60)</f>
        <v/>
      </c>
      <c r="B60" s="9" t="str">
        <f>IF('01_Forms_Raw'!B60="","",'01_Forms_Raw'!B60)</f>
        <v/>
      </c>
      <c r="C60" s="9" t="str">
        <f>IF('01_Forms_Raw'!H60="","",'01_Forms_Raw'!H60)</f>
        <v/>
      </c>
      <c r="D60" s="2" t="str">
        <f>IF('01_Forms_Raw'!D60="","",'01_Forms_Raw'!D60)</f>
        <v/>
      </c>
      <c r="E60" s="2" t="str">
        <f>IF('01_Forms_Raw'!E60="","",'01_Forms_Raw'!E60)</f>
        <v/>
      </c>
      <c r="F60" s="2" t="str">
        <f>IF('01_Forms_Raw'!F60="","",'01_Forms_Raw'!F60)</f>
        <v/>
      </c>
      <c r="G60" s="2" t="str">
        <f>IF('01_Forms_Raw'!G60="","",'01_Forms_Raw'!G60)</f>
        <v/>
      </c>
      <c r="H60" s="2" t="str">
        <f>IF('01_Forms_Raw'!I60="","",'01_Forms_Raw'!I60)</f>
        <v/>
      </c>
      <c r="I60" s="10" t="str">
        <f>IF('01_Forms_Raw'!J60="","",'01_Forms_Raw'!J60)</f>
        <v/>
      </c>
      <c r="J60" s="2" t="str">
        <f>IF('01_Forms_Raw'!K60="","",VALUE('01_Forms_Raw'!K60))</f>
        <v/>
      </c>
      <c r="K60" s="2" t="str">
        <f>IF('01_Forms_Raw'!L60="","",'01_Forms_Raw'!L60)</f>
        <v/>
      </c>
      <c r="L60" s="2" t="str">
        <f>IF('01_Forms_Raw'!M60="","",'01_Forms_Raw'!M60)</f>
        <v/>
      </c>
      <c r="M60" s="10"/>
      <c r="N60" s="10"/>
      <c r="O60" s="10" t="str">
        <f t="shared" si="6"/>
        <v/>
      </c>
      <c r="P60" s="10" t="str">
        <f t="shared" si="7"/>
        <v/>
      </c>
      <c r="Q60" s="2" t="str">
        <f t="shared" si="8"/>
        <v/>
      </c>
      <c r="R60" s="2" t="str">
        <f t="shared" si="9"/>
        <v/>
      </c>
      <c r="S60" s="10" t="str">
        <f t="shared" si="10"/>
        <v/>
      </c>
      <c r="T60" s="10" t="str">
        <f t="shared" si="11"/>
        <v/>
      </c>
    </row>
    <row r="61" spans="1:20">
      <c r="A61" s="2" t="str">
        <f>IF('01_Forms_Raw'!A61="","",'01_Forms_Raw'!A61)</f>
        <v/>
      </c>
      <c r="B61" s="9" t="str">
        <f>IF('01_Forms_Raw'!B61="","",'01_Forms_Raw'!B61)</f>
        <v/>
      </c>
      <c r="C61" s="9" t="str">
        <f>IF('01_Forms_Raw'!H61="","",'01_Forms_Raw'!H61)</f>
        <v/>
      </c>
      <c r="D61" s="2" t="str">
        <f>IF('01_Forms_Raw'!D61="","",'01_Forms_Raw'!D61)</f>
        <v/>
      </c>
      <c r="E61" s="2" t="str">
        <f>IF('01_Forms_Raw'!E61="","",'01_Forms_Raw'!E61)</f>
        <v/>
      </c>
      <c r="F61" s="2" t="str">
        <f>IF('01_Forms_Raw'!F61="","",'01_Forms_Raw'!F61)</f>
        <v/>
      </c>
      <c r="G61" s="2" t="str">
        <f>IF('01_Forms_Raw'!G61="","",'01_Forms_Raw'!G61)</f>
        <v/>
      </c>
      <c r="H61" s="2" t="str">
        <f>IF('01_Forms_Raw'!I61="","",'01_Forms_Raw'!I61)</f>
        <v/>
      </c>
      <c r="I61" s="10" t="str">
        <f>IF('01_Forms_Raw'!J61="","",'01_Forms_Raw'!J61)</f>
        <v/>
      </c>
      <c r="J61" s="2" t="str">
        <f>IF('01_Forms_Raw'!K61="","",VALUE('01_Forms_Raw'!K61))</f>
        <v/>
      </c>
      <c r="K61" s="2" t="str">
        <f>IF('01_Forms_Raw'!L61="","",'01_Forms_Raw'!L61)</f>
        <v/>
      </c>
      <c r="L61" s="2" t="str">
        <f>IF('01_Forms_Raw'!M61="","",'01_Forms_Raw'!M61)</f>
        <v/>
      </c>
      <c r="M61" s="10"/>
      <c r="N61" s="10"/>
      <c r="O61" s="10" t="str">
        <f t="shared" si="6"/>
        <v/>
      </c>
      <c r="P61" s="10" t="str">
        <f t="shared" si="7"/>
        <v/>
      </c>
      <c r="Q61" s="2" t="str">
        <f t="shared" si="8"/>
        <v/>
      </c>
      <c r="R61" s="2" t="str">
        <f t="shared" si="9"/>
        <v/>
      </c>
      <c r="S61" s="10" t="str">
        <f t="shared" si="10"/>
        <v/>
      </c>
      <c r="T61" s="10" t="str">
        <f t="shared" si="11"/>
        <v/>
      </c>
    </row>
    <row r="62" spans="1:20">
      <c r="A62" s="2" t="str">
        <f>IF('01_Forms_Raw'!A62="","",'01_Forms_Raw'!A62)</f>
        <v/>
      </c>
      <c r="B62" s="9" t="str">
        <f>IF('01_Forms_Raw'!B62="","",'01_Forms_Raw'!B62)</f>
        <v/>
      </c>
      <c r="C62" s="9" t="str">
        <f>IF('01_Forms_Raw'!H62="","",'01_Forms_Raw'!H62)</f>
        <v/>
      </c>
      <c r="D62" s="2" t="str">
        <f>IF('01_Forms_Raw'!D62="","",'01_Forms_Raw'!D62)</f>
        <v/>
      </c>
      <c r="E62" s="2" t="str">
        <f>IF('01_Forms_Raw'!E62="","",'01_Forms_Raw'!E62)</f>
        <v/>
      </c>
      <c r="F62" s="2" t="str">
        <f>IF('01_Forms_Raw'!F62="","",'01_Forms_Raw'!F62)</f>
        <v/>
      </c>
      <c r="G62" s="2" t="str">
        <f>IF('01_Forms_Raw'!G62="","",'01_Forms_Raw'!G62)</f>
        <v/>
      </c>
      <c r="H62" s="2" t="str">
        <f>IF('01_Forms_Raw'!I62="","",'01_Forms_Raw'!I62)</f>
        <v/>
      </c>
      <c r="I62" s="10" t="str">
        <f>IF('01_Forms_Raw'!J62="","",'01_Forms_Raw'!J62)</f>
        <v/>
      </c>
      <c r="J62" s="2" t="str">
        <f>IF('01_Forms_Raw'!K62="","",VALUE('01_Forms_Raw'!K62))</f>
        <v/>
      </c>
      <c r="K62" s="2" t="str">
        <f>IF('01_Forms_Raw'!L62="","",'01_Forms_Raw'!L62)</f>
        <v/>
      </c>
      <c r="L62" s="2" t="str">
        <f>IF('01_Forms_Raw'!M62="","",'01_Forms_Raw'!M62)</f>
        <v/>
      </c>
      <c r="M62" s="10"/>
      <c r="N62" s="10"/>
      <c r="O62" s="10" t="str">
        <f t="shared" si="6"/>
        <v/>
      </c>
      <c r="P62" s="10" t="str">
        <f t="shared" si="7"/>
        <v/>
      </c>
      <c r="Q62" s="2" t="str">
        <f t="shared" si="8"/>
        <v/>
      </c>
      <c r="R62" s="2" t="str">
        <f t="shared" si="9"/>
        <v/>
      </c>
      <c r="S62" s="10" t="str">
        <f t="shared" si="10"/>
        <v/>
      </c>
      <c r="T62" s="10" t="str">
        <f t="shared" si="11"/>
        <v/>
      </c>
    </row>
    <row r="63" spans="1:20">
      <c r="A63" s="2" t="str">
        <f>IF('01_Forms_Raw'!A63="","",'01_Forms_Raw'!A63)</f>
        <v/>
      </c>
      <c r="B63" s="9" t="str">
        <f>IF('01_Forms_Raw'!B63="","",'01_Forms_Raw'!B63)</f>
        <v/>
      </c>
      <c r="C63" s="9" t="str">
        <f>IF('01_Forms_Raw'!H63="","",'01_Forms_Raw'!H63)</f>
        <v/>
      </c>
      <c r="D63" s="2" t="str">
        <f>IF('01_Forms_Raw'!D63="","",'01_Forms_Raw'!D63)</f>
        <v/>
      </c>
      <c r="E63" s="2" t="str">
        <f>IF('01_Forms_Raw'!E63="","",'01_Forms_Raw'!E63)</f>
        <v/>
      </c>
      <c r="F63" s="2" t="str">
        <f>IF('01_Forms_Raw'!F63="","",'01_Forms_Raw'!F63)</f>
        <v/>
      </c>
      <c r="G63" s="2" t="str">
        <f>IF('01_Forms_Raw'!G63="","",'01_Forms_Raw'!G63)</f>
        <v/>
      </c>
      <c r="H63" s="2" t="str">
        <f>IF('01_Forms_Raw'!I63="","",'01_Forms_Raw'!I63)</f>
        <v/>
      </c>
      <c r="I63" s="10" t="str">
        <f>IF('01_Forms_Raw'!J63="","",'01_Forms_Raw'!J63)</f>
        <v/>
      </c>
      <c r="J63" s="2" t="str">
        <f>IF('01_Forms_Raw'!K63="","",VALUE('01_Forms_Raw'!K63))</f>
        <v/>
      </c>
      <c r="K63" s="2" t="str">
        <f>IF('01_Forms_Raw'!L63="","",'01_Forms_Raw'!L63)</f>
        <v/>
      </c>
      <c r="L63" s="2" t="str">
        <f>IF('01_Forms_Raw'!M63="","",'01_Forms_Raw'!M63)</f>
        <v/>
      </c>
      <c r="M63" s="10"/>
      <c r="N63" s="10"/>
      <c r="O63" s="10" t="str">
        <f t="shared" si="6"/>
        <v/>
      </c>
      <c r="P63" s="10" t="str">
        <f t="shared" si="7"/>
        <v/>
      </c>
      <c r="Q63" s="2" t="str">
        <f t="shared" si="8"/>
        <v/>
      </c>
      <c r="R63" s="2" t="str">
        <f t="shared" si="9"/>
        <v/>
      </c>
      <c r="S63" s="10" t="str">
        <f t="shared" si="10"/>
        <v/>
      </c>
      <c r="T63" s="10" t="str">
        <f t="shared" si="11"/>
        <v/>
      </c>
    </row>
    <row r="64" spans="1:20">
      <c r="A64" s="2" t="str">
        <f>IF('01_Forms_Raw'!A64="","",'01_Forms_Raw'!A64)</f>
        <v/>
      </c>
      <c r="B64" s="9" t="str">
        <f>IF('01_Forms_Raw'!B64="","",'01_Forms_Raw'!B64)</f>
        <v/>
      </c>
      <c r="C64" s="9" t="str">
        <f>IF('01_Forms_Raw'!H64="","",'01_Forms_Raw'!H64)</f>
        <v/>
      </c>
      <c r="D64" s="2" t="str">
        <f>IF('01_Forms_Raw'!D64="","",'01_Forms_Raw'!D64)</f>
        <v/>
      </c>
      <c r="E64" s="2" t="str">
        <f>IF('01_Forms_Raw'!E64="","",'01_Forms_Raw'!E64)</f>
        <v/>
      </c>
      <c r="F64" s="2" t="str">
        <f>IF('01_Forms_Raw'!F64="","",'01_Forms_Raw'!F64)</f>
        <v/>
      </c>
      <c r="G64" s="2" t="str">
        <f>IF('01_Forms_Raw'!G64="","",'01_Forms_Raw'!G64)</f>
        <v/>
      </c>
      <c r="H64" s="2" t="str">
        <f>IF('01_Forms_Raw'!I64="","",'01_Forms_Raw'!I64)</f>
        <v/>
      </c>
      <c r="I64" s="10" t="str">
        <f>IF('01_Forms_Raw'!J64="","",'01_Forms_Raw'!J64)</f>
        <v/>
      </c>
      <c r="J64" s="2" t="str">
        <f>IF('01_Forms_Raw'!K64="","",VALUE('01_Forms_Raw'!K64))</f>
        <v/>
      </c>
      <c r="K64" s="2" t="str">
        <f>IF('01_Forms_Raw'!L64="","",'01_Forms_Raw'!L64)</f>
        <v/>
      </c>
      <c r="L64" s="2" t="str">
        <f>IF('01_Forms_Raw'!M64="","",'01_Forms_Raw'!M64)</f>
        <v/>
      </c>
      <c r="M64" s="10"/>
      <c r="N64" s="10"/>
      <c r="O64" s="10" t="str">
        <f t="shared" si="6"/>
        <v/>
      </c>
      <c r="P64" s="10" t="str">
        <f t="shared" si="7"/>
        <v/>
      </c>
      <c r="Q64" s="2" t="str">
        <f t="shared" si="8"/>
        <v/>
      </c>
      <c r="R64" s="2" t="str">
        <f t="shared" si="9"/>
        <v/>
      </c>
      <c r="S64" s="10" t="str">
        <f t="shared" si="10"/>
        <v/>
      </c>
      <c r="T64" s="10" t="str">
        <f t="shared" si="11"/>
        <v/>
      </c>
    </row>
    <row r="65" spans="1:20">
      <c r="A65" s="2" t="str">
        <f>IF('01_Forms_Raw'!A65="","",'01_Forms_Raw'!A65)</f>
        <v/>
      </c>
      <c r="B65" s="9" t="str">
        <f>IF('01_Forms_Raw'!B65="","",'01_Forms_Raw'!B65)</f>
        <v/>
      </c>
      <c r="C65" s="9" t="str">
        <f>IF('01_Forms_Raw'!H65="","",'01_Forms_Raw'!H65)</f>
        <v/>
      </c>
      <c r="D65" s="2" t="str">
        <f>IF('01_Forms_Raw'!D65="","",'01_Forms_Raw'!D65)</f>
        <v/>
      </c>
      <c r="E65" s="2" t="str">
        <f>IF('01_Forms_Raw'!E65="","",'01_Forms_Raw'!E65)</f>
        <v/>
      </c>
      <c r="F65" s="2" t="str">
        <f>IF('01_Forms_Raw'!F65="","",'01_Forms_Raw'!F65)</f>
        <v/>
      </c>
      <c r="G65" s="2" t="str">
        <f>IF('01_Forms_Raw'!G65="","",'01_Forms_Raw'!G65)</f>
        <v/>
      </c>
      <c r="H65" s="2" t="str">
        <f>IF('01_Forms_Raw'!I65="","",'01_Forms_Raw'!I65)</f>
        <v/>
      </c>
      <c r="I65" s="10" t="str">
        <f>IF('01_Forms_Raw'!J65="","",'01_Forms_Raw'!J65)</f>
        <v/>
      </c>
      <c r="J65" s="2" t="str">
        <f>IF('01_Forms_Raw'!K65="","",VALUE('01_Forms_Raw'!K65))</f>
        <v/>
      </c>
      <c r="K65" s="2" t="str">
        <f>IF('01_Forms_Raw'!L65="","",'01_Forms_Raw'!L65)</f>
        <v/>
      </c>
      <c r="L65" s="2" t="str">
        <f>IF('01_Forms_Raw'!M65="","",'01_Forms_Raw'!M65)</f>
        <v/>
      </c>
      <c r="M65" s="10"/>
      <c r="N65" s="10"/>
      <c r="O65" s="10" t="str">
        <f t="shared" si="6"/>
        <v/>
      </c>
      <c r="P65" s="10" t="str">
        <f t="shared" si="7"/>
        <v/>
      </c>
      <c r="Q65" s="2" t="str">
        <f t="shared" si="8"/>
        <v/>
      </c>
      <c r="R65" s="2" t="str">
        <f t="shared" si="9"/>
        <v/>
      </c>
      <c r="S65" s="10" t="str">
        <f t="shared" si="10"/>
        <v/>
      </c>
      <c r="T65" s="10" t="str">
        <f t="shared" si="11"/>
        <v/>
      </c>
    </row>
    <row r="66" spans="1:20">
      <c r="A66" s="2" t="str">
        <f>IF('01_Forms_Raw'!A66="","",'01_Forms_Raw'!A66)</f>
        <v/>
      </c>
      <c r="B66" s="9" t="str">
        <f>IF('01_Forms_Raw'!B66="","",'01_Forms_Raw'!B66)</f>
        <v/>
      </c>
      <c r="C66" s="9" t="str">
        <f>IF('01_Forms_Raw'!H66="","",'01_Forms_Raw'!H66)</f>
        <v/>
      </c>
      <c r="D66" s="2" t="str">
        <f>IF('01_Forms_Raw'!D66="","",'01_Forms_Raw'!D66)</f>
        <v/>
      </c>
      <c r="E66" s="2" t="str">
        <f>IF('01_Forms_Raw'!E66="","",'01_Forms_Raw'!E66)</f>
        <v/>
      </c>
      <c r="F66" s="2" t="str">
        <f>IF('01_Forms_Raw'!F66="","",'01_Forms_Raw'!F66)</f>
        <v/>
      </c>
      <c r="G66" s="2" t="str">
        <f>IF('01_Forms_Raw'!G66="","",'01_Forms_Raw'!G66)</f>
        <v/>
      </c>
      <c r="H66" s="2" t="str">
        <f>IF('01_Forms_Raw'!I66="","",'01_Forms_Raw'!I66)</f>
        <v/>
      </c>
      <c r="I66" s="10" t="str">
        <f>IF('01_Forms_Raw'!J66="","",'01_Forms_Raw'!J66)</f>
        <v/>
      </c>
      <c r="J66" s="2" t="str">
        <f>IF('01_Forms_Raw'!K66="","",VALUE('01_Forms_Raw'!K66))</f>
        <v/>
      </c>
      <c r="K66" s="2" t="str">
        <f>IF('01_Forms_Raw'!L66="","",'01_Forms_Raw'!L66)</f>
        <v/>
      </c>
      <c r="L66" s="2" t="str">
        <f>IF('01_Forms_Raw'!M66="","",'01_Forms_Raw'!M66)</f>
        <v/>
      </c>
      <c r="M66" s="10"/>
      <c r="N66" s="10"/>
      <c r="O66" s="10" t="str">
        <f t="shared" ref="O66:O97" si="12">IF(A66="","",IF(AND(D66&lt;&gt;"",E66&lt;&gt;"",H66&lt;&gt;"",I66&lt;&gt;"",J66&lt;&gt;"",K66&lt;&gt;""),"Completa","Incompleta"))</f>
        <v/>
      </c>
      <c r="P66" s="10" t="str">
        <f t="shared" ref="P66:P97" si="13">IF(A66="","",K66-C66)</f>
        <v/>
      </c>
      <c r="Q66" s="2" t="str">
        <f t="shared" ref="Q66:Q97" si="14">IF(A66="","",IF(P66&lt;3,"Riesgo SLA",IF(P66&lt;7,"Corto","OK")))</f>
        <v/>
      </c>
      <c r="R66" s="2" t="str">
        <f t="shared" ref="R66:R97" si="15">IF(A66="","","OT-UM-"&amp;TEXT(C66,"yyyymm")&amp;"-"&amp;TEXT(A66,"000"))</f>
        <v/>
      </c>
      <c r="S66" s="10" t="str">
        <f t="shared" ref="S66:S97" si="16">IF(A66="","",IF(O66="Completa","Sí","No"))</f>
        <v/>
      </c>
      <c r="T66" s="10" t="str">
        <f t="shared" ref="T66:T97" si="17">IF(A66="","",IF(O66="Completa","Lista para OT","Completar brief antes de pasar a diseño"))</f>
        <v/>
      </c>
    </row>
    <row r="67" spans="1:20">
      <c r="A67" s="2" t="str">
        <f>IF('01_Forms_Raw'!A67="","",'01_Forms_Raw'!A67)</f>
        <v/>
      </c>
      <c r="B67" s="9" t="str">
        <f>IF('01_Forms_Raw'!B67="","",'01_Forms_Raw'!B67)</f>
        <v/>
      </c>
      <c r="C67" s="9" t="str">
        <f>IF('01_Forms_Raw'!H67="","",'01_Forms_Raw'!H67)</f>
        <v/>
      </c>
      <c r="D67" s="2" t="str">
        <f>IF('01_Forms_Raw'!D67="","",'01_Forms_Raw'!D67)</f>
        <v/>
      </c>
      <c r="E67" s="2" t="str">
        <f>IF('01_Forms_Raw'!E67="","",'01_Forms_Raw'!E67)</f>
        <v/>
      </c>
      <c r="F67" s="2" t="str">
        <f>IF('01_Forms_Raw'!F67="","",'01_Forms_Raw'!F67)</f>
        <v/>
      </c>
      <c r="G67" s="2" t="str">
        <f>IF('01_Forms_Raw'!G67="","",'01_Forms_Raw'!G67)</f>
        <v/>
      </c>
      <c r="H67" s="2" t="str">
        <f>IF('01_Forms_Raw'!I67="","",'01_Forms_Raw'!I67)</f>
        <v/>
      </c>
      <c r="I67" s="10" t="str">
        <f>IF('01_Forms_Raw'!J67="","",'01_Forms_Raw'!J67)</f>
        <v/>
      </c>
      <c r="J67" s="2" t="str">
        <f>IF('01_Forms_Raw'!K67="","",VALUE('01_Forms_Raw'!K67))</f>
        <v/>
      </c>
      <c r="K67" s="2" t="str">
        <f>IF('01_Forms_Raw'!L67="","",'01_Forms_Raw'!L67)</f>
        <v/>
      </c>
      <c r="L67" s="2" t="str">
        <f>IF('01_Forms_Raw'!M67="","",'01_Forms_Raw'!M67)</f>
        <v/>
      </c>
      <c r="M67" s="10"/>
      <c r="N67" s="10"/>
      <c r="O67" s="10" t="str">
        <f t="shared" si="12"/>
        <v/>
      </c>
      <c r="P67" s="10" t="str">
        <f t="shared" si="13"/>
        <v/>
      </c>
      <c r="Q67" s="2" t="str">
        <f t="shared" si="14"/>
        <v/>
      </c>
      <c r="R67" s="2" t="str">
        <f t="shared" si="15"/>
        <v/>
      </c>
      <c r="S67" s="10" t="str">
        <f t="shared" si="16"/>
        <v/>
      </c>
      <c r="T67" s="10" t="str">
        <f t="shared" si="17"/>
        <v/>
      </c>
    </row>
    <row r="68" spans="1:20">
      <c r="A68" s="2" t="str">
        <f>IF('01_Forms_Raw'!A68="","",'01_Forms_Raw'!A68)</f>
        <v/>
      </c>
      <c r="B68" s="9" t="str">
        <f>IF('01_Forms_Raw'!B68="","",'01_Forms_Raw'!B68)</f>
        <v/>
      </c>
      <c r="C68" s="9" t="str">
        <f>IF('01_Forms_Raw'!H68="","",'01_Forms_Raw'!H68)</f>
        <v/>
      </c>
      <c r="D68" s="2" t="str">
        <f>IF('01_Forms_Raw'!D68="","",'01_Forms_Raw'!D68)</f>
        <v/>
      </c>
      <c r="E68" s="2" t="str">
        <f>IF('01_Forms_Raw'!E68="","",'01_Forms_Raw'!E68)</f>
        <v/>
      </c>
      <c r="F68" s="2" t="str">
        <f>IF('01_Forms_Raw'!F68="","",'01_Forms_Raw'!F68)</f>
        <v/>
      </c>
      <c r="G68" s="2" t="str">
        <f>IF('01_Forms_Raw'!G68="","",'01_Forms_Raw'!G68)</f>
        <v/>
      </c>
      <c r="H68" s="2" t="str">
        <f>IF('01_Forms_Raw'!I68="","",'01_Forms_Raw'!I68)</f>
        <v/>
      </c>
      <c r="I68" s="10" t="str">
        <f>IF('01_Forms_Raw'!J68="","",'01_Forms_Raw'!J68)</f>
        <v/>
      </c>
      <c r="J68" s="2" t="str">
        <f>IF('01_Forms_Raw'!K68="","",VALUE('01_Forms_Raw'!K68))</f>
        <v/>
      </c>
      <c r="K68" s="2" t="str">
        <f>IF('01_Forms_Raw'!L68="","",'01_Forms_Raw'!L68)</f>
        <v/>
      </c>
      <c r="L68" s="2" t="str">
        <f>IF('01_Forms_Raw'!M68="","",'01_Forms_Raw'!M68)</f>
        <v/>
      </c>
      <c r="M68" s="10"/>
      <c r="N68" s="10"/>
      <c r="O68" s="10" t="str">
        <f t="shared" si="12"/>
        <v/>
      </c>
      <c r="P68" s="10" t="str">
        <f t="shared" si="13"/>
        <v/>
      </c>
      <c r="Q68" s="2" t="str">
        <f t="shared" si="14"/>
        <v/>
      </c>
      <c r="R68" s="2" t="str">
        <f t="shared" si="15"/>
        <v/>
      </c>
      <c r="S68" s="10" t="str">
        <f t="shared" si="16"/>
        <v/>
      </c>
      <c r="T68" s="10" t="str">
        <f t="shared" si="17"/>
        <v/>
      </c>
    </row>
    <row r="69" spans="1:20">
      <c r="A69" s="2" t="str">
        <f>IF('01_Forms_Raw'!A69="","",'01_Forms_Raw'!A69)</f>
        <v/>
      </c>
      <c r="B69" s="9" t="str">
        <f>IF('01_Forms_Raw'!B69="","",'01_Forms_Raw'!B69)</f>
        <v/>
      </c>
      <c r="C69" s="9" t="str">
        <f>IF('01_Forms_Raw'!H69="","",'01_Forms_Raw'!H69)</f>
        <v/>
      </c>
      <c r="D69" s="2" t="str">
        <f>IF('01_Forms_Raw'!D69="","",'01_Forms_Raw'!D69)</f>
        <v/>
      </c>
      <c r="E69" s="2" t="str">
        <f>IF('01_Forms_Raw'!E69="","",'01_Forms_Raw'!E69)</f>
        <v/>
      </c>
      <c r="F69" s="2" t="str">
        <f>IF('01_Forms_Raw'!F69="","",'01_Forms_Raw'!F69)</f>
        <v/>
      </c>
      <c r="G69" s="2" t="str">
        <f>IF('01_Forms_Raw'!G69="","",'01_Forms_Raw'!G69)</f>
        <v/>
      </c>
      <c r="H69" s="2" t="str">
        <f>IF('01_Forms_Raw'!I69="","",'01_Forms_Raw'!I69)</f>
        <v/>
      </c>
      <c r="I69" s="10" t="str">
        <f>IF('01_Forms_Raw'!J69="","",'01_Forms_Raw'!J69)</f>
        <v/>
      </c>
      <c r="J69" s="2" t="str">
        <f>IF('01_Forms_Raw'!K69="","",VALUE('01_Forms_Raw'!K69))</f>
        <v/>
      </c>
      <c r="K69" s="2" t="str">
        <f>IF('01_Forms_Raw'!L69="","",'01_Forms_Raw'!L69)</f>
        <v/>
      </c>
      <c r="L69" s="2" t="str">
        <f>IF('01_Forms_Raw'!M69="","",'01_Forms_Raw'!M69)</f>
        <v/>
      </c>
      <c r="M69" s="10"/>
      <c r="N69" s="10"/>
      <c r="O69" s="10" t="str">
        <f t="shared" si="12"/>
        <v/>
      </c>
      <c r="P69" s="10" t="str">
        <f t="shared" si="13"/>
        <v/>
      </c>
      <c r="Q69" s="2" t="str">
        <f t="shared" si="14"/>
        <v/>
      </c>
      <c r="R69" s="2" t="str">
        <f t="shared" si="15"/>
        <v/>
      </c>
      <c r="S69" s="10" t="str">
        <f t="shared" si="16"/>
        <v/>
      </c>
      <c r="T69" s="10" t="str">
        <f t="shared" si="17"/>
        <v/>
      </c>
    </row>
    <row r="70" spans="1:20">
      <c r="A70" s="2" t="str">
        <f>IF('01_Forms_Raw'!A70="","",'01_Forms_Raw'!A70)</f>
        <v/>
      </c>
      <c r="B70" s="9" t="str">
        <f>IF('01_Forms_Raw'!B70="","",'01_Forms_Raw'!B70)</f>
        <v/>
      </c>
      <c r="C70" s="9" t="str">
        <f>IF('01_Forms_Raw'!H70="","",'01_Forms_Raw'!H70)</f>
        <v/>
      </c>
      <c r="D70" s="2" t="str">
        <f>IF('01_Forms_Raw'!D70="","",'01_Forms_Raw'!D70)</f>
        <v/>
      </c>
      <c r="E70" s="2" t="str">
        <f>IF('01_Forms_Raw'!E70="","",'01_Forms_Raw'!E70)</f>
        <v/>
      </c>
      <c r="F70" s="2" t="str">
        <f>IF('01_Forms_Raw'!F70="","",'01_Forms_Raw'!F70)</f>
        <v/>
      </c>
      <c r="G70" s="2" t="str">
        <f>IF('01_Forms_Raw'!G70="","",'01_Forms_Raw'!G70)</f>
        <v/>
      </c>
      <c r="H70" s="2" t="str">
        <f>IF('01_Forms_Raw'!I70="","",'01_Forms_Raw'!I70)</f>
        <v/>
      </c>
      <c r="I70" s="10" t="str">
        <f>IF('01_Forms_Raw'!J70="","",'01_Forms_Raw'!J70)</f>
        <v/>
      </c>
      <c r="J70" s="2" t="str">
        <f>IF('01_Forms_Raw'!K70="","",VALUE('01_Forms_Raw'!K70))</f>
        <v/>
      </c>
      <c r="K70" s="2" t="str">
        <f>IF('01_Forms_Raw'!L70="","",'01_Forms_Raw'!L70)</f>
        <v/>
      </c>
      <c r="L70" s="2" t="str">
        <f>IF('01_Forms_Raw'!M70="","",'01_Forms_Raw'!M70)</f>
        <v/>
      </c>
      <c r="M70" s="10"/>
      <c r="N70" s="10"/>
      <c r="O70" s="10" t="str">
        <f t="shared" si="12"/>
        <v/>
      </c>
      <c r="P70" s="10" t="str">
        <f t="shared" si="13"/>
        <v/>
      </c>
      <c r="Q70" s="2" t="str">
        <f t="shared" si="14"/>
        <v/>
      </c>
      <c r="R70" s="2" t="str">
        <f t="shared" si="15"/>
        <v/>
      </c>
      <c r="S70" s="10" t="str">
        <f t="shared" si="16"/>
        <v/>
      </c>
      <c r="T70" s="10" t="str">
        <f t="shared" si="17"/>
        <v/>
      </c>
    </row>
    <row r="71" spans="1:20">
      <c r="A71" s="2" t="str">
        <f>IF('01_Forms_Raw'!A71="","",'01_Forms_Raw'!A71)</f>
        <v/>
      </c>
      <c r="B71" s="9" t="str">
        <f>IF('01_Forms_Raw'!B71="","",'01_Forms_Raw'!B71)</f>
        <v/>
      </c>
      <c r="C71" s="9" t="str">
        <f>IF('01_Forms_Raw'!H71="","",'01_Forms_Raw'!H71)</f>
        <v/>
      </c>
      <c r="D71" s="2" t="str">
        <f>IF('01_Forms_Raw'!D71="","",'01_Forms_Raw'!D71)</f>
        <v/>
      </c>
      <c r="E71" s="2" t="str">
        <f>IF('01_Forms_Raw'!E71="","",'01_Forms_Raw'!E71)</f>
        <v/>
      </c>
      <c r="F71" s="2" t="str">
        <f>IF('01_Forms_Raw'!F71="","",'01_Forms_Raw'!F71)</f>
        <v/>
      </c>
      <c r="G71" s="2" t="str">
        <f>IF('01_Forms_Raw'!G71="","",'01_Forms_Raw'!G71)</f>
        <v/>
      </c>
      <c r="H71" s="2" t="str">
        <f>IF('01_Forms_Raw'!I71="","",'01_Forms_Raw'!I71)</f>
        <v/>
      </c>
      <c r="I71" s="10" t="str">
        <f>IF('01_Forms_Raw'!J71="","",'01_Forms_Raw'!J71)</f>
        <v/>
      </c>
      <c r="J71" s="2" t="str">
        <f>IF('01_Forms_Raw'!K71="","",VALUE('01_Forms_Raw'!K71))</f>
        <v/>
      </c>
      <c r="K71" s="2" t="str">
        <f>IF('01_Forms_Raw'!L71="","",'01_Forms_Raw'!L71)</f>
        <v/>
      </c>
      <c r="L71" s="2" t="str">
        <f>IF('01_Forms_Raw'!M71="","",'01_Forms_Raw'!M71)</f>
        <v/>
      </c>
      <c r="M71" s="10"/>
      <c r="N71" s="10"/>
      <c r="O71" s="10" t="str">
        <f t="shared" si="12"/>
        <v/>
      </c>
      <c r="P71" s="10" t="str">
        <f t="shared" si="13"/>
        <v/>
      </c>
      <c r="Q71" s="2" t="str">
        <f t="shared" si="14"/>
        <v/>
      </c>
      <c r="R71" s="2" t="str">
        <f t="shared" si="15"/>
        <v/>
      </c>
      <c r="S71" s="10" t="str">
        <f t="shared" si="16"/>
        <v/>
      </c>
      <c r="T71" s="10" t="str">
        <f t="shared" si="17"/>
        <v/>
      </c>
    </row>
    <row r="72" spans="1:20">
      <c r="A72" s="2" t="str">
        <f>IF('01_Forms_Raw'!A72="","",'01_Forms_Raw'!A72)</f>
        <v/>
      </c>
      <c r="B72" s="9" t="str">
        <f>IF('01_Forms_Raw'!B72="","",'01_Forms_Raw'!B72)</f>
        <v/>
      </c>
      <c r="C72" s="9" t="str">
        <f>IF('01_Forms_Raw'!H72="","",'01_Forms_Raw'!H72)</f>
        <v/>
      </c>
      <c r="D72" s="2" t="str">
        <f>IF('01_Forms_Raw'!D72="","",'01_Forms_Raw'!D72)</f>
        <v/>
      </c>
      <c r="E72" s="2" t="str">
        <f>IF('01_Forms_Raw'!E72="","",'01_Forms_Raw'!E72)</f>
        <v/>
      </c>
      <c r="F72" s="2" t="str">
        <f>IF('01_Forms_Raw'!F72="","",'01_Forms_Raw'!F72)</f>
        <v/>
      </c>
      <c r="G72" s="2" t="str">
        <f>IF('01_Forms_Raw'!G72="","",'01_Forms_Raw'!G72)</f>
        <v/>
      </c>
      <c r="H72" s="2" t="str">
        <f>IF('01_Forms_Raw'!I72="","",'01_Forms_Raw'!I72)</f>
        <v/>
      </c>
      <c r="I72" s="10" t="str">
        <f>IF('01_Forms_Raw'!J72="","",'01_Forms_Raw'!J72)</f>
        <v/>
      </c>
      <c r="J72" s="2" t="str">
        <f>IF('01_Forms_Raw'!K72="","",VALUE('01_Forms_Raw'!K72))</f>
        <v/>
      </c>
      <c r="K72" s="2" t="str">
        <f>IF('01_Forms_Raw'!L72="","",'01_Forms_Raw'!L72)</f>
        <v/>
      </c>
      <c r="L72" s="2" t="str">
        <f>IF('01_Forms_Raw'!M72="","",'01_Forms_Raw'!M72)</f>
        <v/>
      </c>
      <c r="M72" s="10"/>
      <c r="N72" s="10"/>
      <c r="O72" s="10" t="str">
        <f t="shared" si="12"/>
        <v/>
      </c>
      <c r="P72" s="10" t="str">
        <f t="shared" si="13"/>
        <v/>
      </c>
      <c r="Q72" s="2" t="str">
        <f t="shared" si="14"/>
        <v/>
      </c>
      <c r="R72" s="2" t="str">
        <f t="shared" si="15"/>
        <v/>
      </c>
      <c r="S72" s="10" t="str">
        <f t="shared" si="16"/>
        <v/>
      </c>
      <c r="T72" s="10" t="str">
        <f t="shared" si="17"/>
        <v/>
      </c>
    </row>
    <row r="73" spans="1:20">
      <c r="A73" s="2" t="str">
        <f>IF('01_Forms_Raw'!A73="","",'01_Forms_Raw'!A73)</f>
        <v/>
      </c>
      <c r="B73" s="9" t="str">
        <f>IF('01_Forms_Raw'!B73="","",'01_Forms_Raw'!B73)</f>
        <v/>
      </c>
      <c r="C73" s="9" t="str">
        <f>IF('01_Forms_Raw'!H73="","",'01_Forms_Raw'!H73)</f>
        <v/>
      </c>
      <c r="D73" s="2" t="str">
        <f>IF('01_Forms_Raw'!D73="","",'01_Forms_Raw'!D73)</f>
        <v/>
      </c>
      <c r="E73" s="2" t="str">
        <f>IF('01_Forms_Raw'!E73="","",'01_Forms_Raw'!E73)</f>
        <v/>
      </c>
      <c r="F73" s="2" t="str">
        <f>IF('01_Forms_Raw'!F73="","",'01_Forms_Raw'!F73)</f>
        <v/>
      </c>
      <c r="G73" s="2" t="str">
        <f>IF('01_Forms_Raw'!G73="","",'01_Forms_Raw'!G73)</f>
        <v/>
      </c>
      <c r="H73" s="2" t="str">
        <f>IF('01_Forms_Raw'!I73="","",'01_Forms_Raw'!I73)</f>
        <v/>
      </c>
      <c r="I73" s="10" t="str">
        <f>IF('01_Forms_Raw'!J73="","",'01_Forms_Raw'!J73)</f>
        <v/>
      </c>
      <c r="J73" s="2" t="str">
        <f>IF('01_Forms_Raw'!K73="","",VALUE('01_Forms_Raw'!K73))</f>
        <v/>
      </c>
      <c r="K73" s="2" t="str">
        <f>IF('01_Forms_Raw'!L73="","",'01_Forms_Raw'!L73)</f>
        <v/>
      </c>
      <c r="L73" s="2" t="str">
        <f>IF('01_Forms_Raw'!M73="","",'01_Forms_Raw'!M73)</f>
        <v/>
      </c>
      <c r="M73" s="10"/>
      <c r="N73" s="10"/>
      <c r="O73" s="10" t="str">
        <f t="shared" si="12"/>
        <v/>
      </c>
      <c r="P73" s="10" t="str">
        <f t="shared" si="13"/>
        <v/>
      </c>
      <c r="Q73" s="2" t="str">
        <f t="shared" si="14"/>
        <v/>
      </c>
      <c r="R73" s="2" t="str">
        <f t="shared" si="15"/>
        <v/>
      </c>
      <c r="S73" s="10" t="str">
        <f t="shared" si="16"/>
        <v/>
      </c>
      <c r="T73" s="10" t="str">
        <f t="shared" si="17"/>
        <v/>
      </c>
    </row>
    <row r="74" spans="1:20">
      <c r="A74" s="2" t="str">
        <f>IF('01_Forms_Raw'!A74="","",'01_Forms_Raw'!A74)</f>
        <v/>
      </c>
      <c r="B74" s="9" t="str">
        <f>IF('01_Forms_Raw'!B74="","",'01_Forms_Raw'!B74)</f>
        <v/>
      </c>
      <c r="C74" s="9" t="str">
        <f>IF('01_Forms_Raw'!H74="","",'01_Forms_Raw'!H74)</f>
        <v/>
      </c>
      <c r="D74" s="2" t="str">
        <f>IF('01_Forms_Raw'!D74="","",'01_Forms_Raw'!D74)</f>
        <v/>
      </c>
      <c r="E74" s="2" t="str">
        <f>IF('01_Forms_Raw'!E74="","",'01_Forms_Raw'!E74)</f>
        <v/>
      </c>
      <c r="F74" s="2" t="str">
        <f>IF('01_Forms_Raw'!F74="","",'01_Forms_Raw'!F74)</f>
        <v/>
      </c>
      <c r="G74" s="2" t="str">
        <f>IF('01_Forms_Raw'!G74="","",'01_Forms_Raw'!G74)</f>
        <v/>
      </c>
      <c r="H74" s="2" t="str">
        <f>IF('01_Forms_Raw'!I74="","",'01_Forms_Raw'!I74)</f>
        <v/>
      </c>
      <c r="I74" s="10" t="str">
        <f>IF('01_Forms_Raw'!J74="","",'01_Forms_Raw'!J74)</f>
        <v/>
      </c>
      <c r="J74" s="2" t="str">
        <f>IF('01_Forms_Raw'!K74="","",VALUE('01_Forms_Raw'!K74))</f>
        <v/>
      </c>
      <c r="K74" s="2" t="str">
        <f>IF('01_Forms_Raw'!L74="","",'01_Forms_Raw'!L74)</f>
        <v/>
      </c>
      <c r="L74" s="2" t="str">
        <f>IF('01_Forms_Raw'!M74="","",'01_Forms_Raw'!M74)</f>
        <v/>
      </c>
      <c r="M74" s="10"/>
      <c r="N74" s="10"/>
      <c r="O74" s="10" t="str">
        <f t="shared" si="12"/>
        <v/>
      </c>
      <c r="P74" s="10" t="str">
        <f t="shared" si="13"/>
        <v/>
      </c>
      <c r="Q74" s="2" t="str">
        <f t="shared" si="14"/>
        <v/>
      </c>
      <c r="R74" s="2" t="str">
        <f t="shared" si="15"/>
        <v/>
      </c>
      <c r="S74" s="10" t="str">
        <f t="shared" si="16"/>
        <v/>
      </c>
      <c r="T74" s="10" t="str">
        <f t="shared" si="17"/>
        <v/>
      </c>
    </row>
    <row r="75" spans="1:20">
      <c r="A75" s="2" t="str">
        <f>IF('01_Forms_Raw'!A75="","",'01_Forms_Raw'!A75)</f>
        <v/>
      </c>
      <c r="B75" s="9" t="str">
        <f>IF('01_Forms_Raw'!B75="","",'01_Forms_Raw'!B75)</f>
        <v/>
      </c>
      <c r="C75" s="9" t="str">
        <f>IF('01_Forms_Raw'!H75="","",'01_Forms_Raw'!H75)</f>
        <v/>
      </c>
      <c r="D75" s="2" t="str">
        <f>IF('01_Forms_Raw'!D75="","",'01_Forms_Raw'!D75)</f>
        <v/>
      </c>
      <c r="E75" s="2" t="str">
        <f>IF('01_Forms_Raw'!E75="","",'01_Forms_Raw'!E75)</f>
        <v/>
      </c>
      <c r="F75" s="2" t="str">
        <f>IF('01_Forms_Raw'!F75="","",'01_Forms_Raw'!F75)</f>
        <v/>
      </c>
      <c r="G75" s="2" t="str">
        <f>IF('01_Forms_Raw'!G75="","",'01_Forms_Raw'!G75)</f>
        <v/>
      </c>
      <c r="H75" s="2" t="str">
        <f>IF('01_Forms_Raw'!I75="","",'01_Forms_Raw'!I75)</f>
        <v/>
      </c>
      <c r="I75" s="10" t="str">
        <f>IF('01_Forms_Raw'!J75="","",'01_Forms_Raw'!J75)</f>
        <v/>
      </c>
      <c r="J75" s="2" t="str">
        <f>IF('01_Forms_Raw'!K75="","",VALUE('01_Forms_Raw'!K75))</f>
        <v/>
      </c>
      <c r="K75" s="2" t="str">
        <f>IF('01_Forms_Raw'!L75="","",'01_Forms_Raw'!L75)</f>
        <v/>
      </c>
      <c r="L75" s="2" t="str">
        <f>IF('01_Forms_Raw'!M75="","",'01_Forms_Raw'!M75)</f>
        <v/>
      </c>
      <c r="M75" s="10"/>
      <c r="N75" s="10"/>
      <c r="O75" s="10" t="str">
        <f t="shared" si="12"/>
        <v/>
      </c>
      <c r="P75" s="10" t="str">
        <f t="shared" si="13"/>
        <v/>
      </c>
      <c r="Q75" s="2" t="str">
        <f t="shared" si="14"/>
        <v/>
      </c>
      <c r="R75" s="2" t="str">
        <f t="shared" si="15"/>
        <v/>
      </c>
      <c r="S75" s="10" t="str">
        <f t="shared" si="16"/>
        <v/>
      </c>
      <c r="T75" s="10" t="str">
        <f t="shared" si="17"/>
        <v/>
      </c>
    </row>
    <row r="76" spans="1:20">
      <c r="A76" s="2" t="str">
        <f>IF('01_Forms_Raw'!A76="","",'01_Forms_Raw'!A76)</f>
        <v/>
      </c>
      <c r="B76" s="9" t="str">
        <f>IF('01_Forms_Raw'!B76="","",'01_Forms_Raw'!B76)</f>
        <v/>
      </c>
      <c r="C76" s="9" t="str">
        <f>IF('01_Forms_Raw'!H76="","",'01_Forms_Raw'!H76)</f>
        <v/>
      </c>
      <c r="D76" s="2" t="str">
        <f>IF('01_Forms_Raw'!D76="","",'01_Forms_Raw'!D76)</f>
        <v/>
      </c>
      <c r="E76" s="2" t="str">
        <f>IF('01_Forms_Raw'!E76="","",'01_Forms_Raw'!E76)</f>
        <v/>
      </c>
      <c r="F76" s="2" t="str">
        <f>IF('01_Forms_Raw'!F76="","",'01_Forms_Raw'!F76)</f>
        <v/>
      </c>
      <c r="G76" s="2" t="str">
        <f>IF('01_Forms_Raw'!G76="","",'01_Forms_Raw'!G76)</f>
        <v/>
      </c>
      <c r="H76" s="2" t="str">
        <f>IF('01_Forms_Raw'!I76="","",'01_Forms_Raw'!I76)</f>
        <v/>
      </c>
      <c r="I76" s="10" t="str">
        <f>IF('01_Forms_Raw'!J76="","",'01_Forms_Raw'!J76)</f>
        <v/>
      </c>
      <c r="J76" s="2" t="str">
        <f>IF('01_Forms_Raw'!K76="","",VALUE('01_Forms_Raw'!K76))</f>
        <v/>
      </c>
      <c r="K76" s="2" t="str">
        <f>IF('01_Forms_Raw'!L76="","",'01_Forms_Raw'!L76)</f>
        <v/>
      </c>
      <c r="L76" s="2" t="str">
        <f>IF('01_Forms_Raw'!M76="","",'01_Forms_Raw'!M76)</f>
        <v/>
      </c>
      <c r="M76" s="10"/>
      <c r="N76" s="10"/>
      <c r="O76" s="10" t="str">
        <f t="shared" si="12"/>
        <v/>
      </c>
      <c r="P76" s="10" t="str">
        <f t="shared" si="13"/>
        <v/>
      </c>
      <c r="Q76" s="2" t="str">
        <f t="shared" si="14"/>
        <v/>
      </c>
      <c r="R76" s="2" t="str">
        <f t="shared" si="15"/>
        <v/>
      </c>
      <c r="S76" s="10" t="str">
        <f t="shared" si="16"/>
        <v/>
      </c>
      <c r="T76" s="10" t="str">
        <f t="shared" si="17"/>
        <v/>
      </c>
    </row>
    <row r="77" spans="1:20">
      <c r="A77" s="2" t="str">
        <f>IF('01_Forms_Raw'!A77="","",'01_Forms_Raw'!A77)</f>
        <v/>
      </c>
      <c r="B77" s="9" t="str">
        <f>IF('01_Forms_Raw'!B77="","",'01_Forms_Raw'!B77)</f>
        <v/>
      </c>
      <c r="C77" s="9" t="str">
        <f>IF('01_Forms_Raw'!H77="","",'01_Forms_Raw'!H77)</f>
        <v/>
      </c>
      <c r="D77" s="2" t="str">
        <f>IF('01_Forms_Raw'!D77="","",'01_Forms_Raw'!D77)</f>
        <v/>
      </c>
      <c r="E77" s="2" t="str">
        <f>IF('01_Forms_Raw'!E77="","",'01_Forms_Raw'!E77)</f>
        <v/>
      </c>
      <c r="F77" s="2" t="str">
        <f>IF('01_Forms_Raw'!F77="","",'01_Forms_Raw'!F77)</f>
        <v/>
      </c>
      <c r="G77" s="2" t="str">
        <f>IF('01_Forms_Raw'!G77="","",'01_Forms_Raw'!G77)</f>
        <v/>
      </c>
      <c r="H77" s="2" t="str">
        <f>IF('01_Forms_Raw'!I77="","",'01_Forms_Raw'!I77)</f>
        <v/>
      </c>
      <c r="I77" s="10" t="str">
        <f>IF('01_Forms_Raw'!J77="","",'01_Forms_Raw'!J77)</f>
        <v/>
      </c>
      <c r="J77" s="2" t="str">
        <f>IF('01_Forms_Raw'!K77="","",VALUE('01_Forms_Raw'!K77))</f>
        <v/>
      </c>
      <c r="K77" s="2" t="str">
        <f>IF('01_Forms_Raw'!L77="","",'01_Forms_Raw'!L77)</f>
        <v/>
      </c>
      <c r="L77" s="2" t="str">
        <f>IF('01_Forms_Raw'!M77="","",'01_Forms_Raw'!M77)</f>
        <v/>
      </c>
      <c r="M77" s="10"/>
      <c r="N77" s="10"/>
      <c r="O77" s="10" t="str">
        <f t="shared" si="12"/>
        <v/>
      </c>
      <c r="P77" s="10" t="str">
        <f t="shared" si="13"/>
        <v/>
      </c>
      <c r="Q77" s="2" t="str">
        <f t="shared" si="14"/>
        <v/>
      </c>
      <c r="R77" s="2" t="str">
        <f t="shared" si="15"/>
        <v/>
      </c>
      <c r="S77" s="10" t="str">
        <f t="shared" si="16"/>
        <v/>
      </c>
      <c r="T77" s="10" t="str">
        <f t="shared" si="17"/>
        <v/>
      </c>
    </row>
    <row r="78" spans="1:20">
      <c r="A78" s="2" t="str">
        <f>IF('01_Forms_Raw'!A78="","",'01_Forms_Raw'!A78)</f>
        <v/>
      </c>
      <c r="B78" s="9" t="str">
        <f>IF('01_Forms_Raw'!B78="","",'01_Forms_Raw'!B78)</f>
        <v/>
      </c>
      <c r="C78" s="9" t="str">
        <f>IF('01_Forms_Raw'!H78="","",'01_Forms_Raw'!H78)</f>
        <v/>
      </c>
      <c r="D78" s="2" t="str">
        <f>IF('01_Forms_Raw'!D78="","",'01_Forms_Raw'!D78)</f>
        <v/>
      </c>
      <c r="E78" s="2" t="str">
        <f>IF('01_Forms_Raw'!E78="","",'01_Forms_Raw'!E78)</f>
        <v/>
      </c>
      <c r="F78" s="2" t="str">
        <f>IF('01_Forms_Raw'!F78="","",'01_Forms_Raw'!F78)</f>
        <v/>
      </c>
      <c r="G78" s="2" t="str">
        <f>IF('01_Forms_Raw'!G78="","",'01_Forms_Raw'!G78)</f>
        <v/>
      </c>
      <c r="H78" s="2" t="str">
        <f>IF('01_Forms_Raw'!I78="","",'01_Forms_Raw'!I78)</f>
        <v/>
      </c>
      <c r="I78" s="10" t="str">
        <f>IF('01_Forms_Raw'!J78="","",'01_Forms_Raw'!J78)</f>
        <v/>
      </c>
      <c r="J78" s="2" t="str">
        <f>IF('01_Forms_Raw'!K78="","",VALUE('01_Forms_Raw'!K78))</f>
        <v/>
      </c>
      <c r="K78" s="2" t="str">
        <f>IF('01_Forms_Raw'!L78="","",'01_Forms_Raw'!L78)</f>
        <v/>
      </c>
      <c r="L78" s="2" t="str">
        <f>IF('01_Forms_Raw'!M78="","",'01_Forms_Raw'!M78)</f>
        <v/>
      </c>
      <c r="M78" s="10"/>
      <c r="N78" s="10"/>
      <c r="O78" s="10" t="str">
        <f t="shared" si="12"/>
        <v/>
      </c>
      <c r="P78" s="10" t="str">
        <f t="shared" si="13"/>
        <v/>
      </c>
      <c r="Q78" s="2" t="str">
        <f t="shared" si="14"/>
        <v/>
      </c>
      <c r="R78" s="2" t="str">
        <f t="shared" si="15"/>
        <v/>
      </c>
      <c r="S78" s="10" t="str">
        <f t="shared" si="16"/>
        <v/>
      </c>
      <c r="T78" s="10" t="str">
        <f t="shared" si="17"/>
        <v/>
      </c>
    </row>
    <row r="79" spans="1:20">
      <c r="A79" s="2" t="str">
        <f>IF('01_Forms_Raw'!A79="","",'01_Forms_Raw'!A79)</f>
        <v/>
      </c>
      <c r="B79" s="9" t="str">
        <f>IF('01_Forms_Raw'!B79="","",'01_Forms_Raw'!B79)</f>
        <v/>
      </c>
      <c r="C79" s="9" t="str">
        <f>IF('01_Forms_Raw'!H79="","",'01_Forms_Raw'!H79)</f>
        <v/>
      </c>
      <c r="D79" s="2" t="str">
        <f>IF('01_Forms_Raw'!D79="","",'01_Forms_Raw'!D79)</f>
        <v/>
      </c>
      <c r="E79" s="2" t="str">
        <f>IF('01_Forms_Raw'!E79="","",'01_Forms_Raw'!E79)</f>
        <v/>
      </c>
      <c r="F79" s="2" t="str">
        <f>IF('01_Forms_Raw'!F79="","",'01_Forms_Raw'!F79)</f>
        <v/>
      </c>
      <c r="G79" s="2" t="str">
        <f>IF('01_Forms_Raw'!G79="","",'01_Forms_Raw'!G79)</f>
        <v/>
      </c>
      <c r="H79" s="2" t="str">
        <f>IF('01_Forms_Raw'!I79="","",'01_Forms_Raw'!I79)</f>
        <v/>
      </c>
      <c r="I79" s="10" t="str">
        <f>IF('01_Forms_Raw'!J79="","",'01_Forms_Raw'!J79)</f>
        <v/>
      </c>
      <c r="J79" s="2" t="str">
        <f>IF('01_Forms_Raw'!K79="","",VALUE('01_Forms_Raw'!K79))</f>
        <v/>
      </c>
      <c r="K79" s="2" t="str">
        <f>IF('01_Forms_Raw'!L79="","",'01_Forms_Raw'!L79)</f>
        <v/>
      </c>
      <c r="L79" s="2" t="str">
        <f>IF('01_Forms_Raw'!M79="","",'01_Forms_Raw'!M79)</f>
        <v/>
      </c>
      <c r="M79" s="10"/>
      <c r="N79" s="10"/>
      <c r="O79" s="10" t="str">
        <f t="shared" si="12"/>
        <v/>
      </c>
      <c r="P79" s="10" t="str">
        <f t="shared" si="13"/>
        <v/>
      </c>
      <c r="Q79" s="2" t="str">
        <f t="shared" si="14"/>
        <v/>
      </c>
      <c r="R79" s="2" t="str">
        <f t="shared" si="15"/>
        <v/>
      </c>
      <c r="S79" s="10" t="str">
        <f t="shared" si="16"/>
        <v/>
      </c>
      <c r="T79" s="10" t="str">
        <f t="shared" si="17"/>
        <v/>
      </c>
    </row>
    <row r="80" spans="1:20">
      <c r="A80" s="2" t="str">
        <f>IF('01_Forms_Raw'!A80="","",'01_Forms_Raw'!A80)</f>
        <v/>
      </c>
      <c r="B80" s="9" t="str">
        <f>IF('01_Forms_Raw'!B80="","",'01_Forms_Raw'!B80)</f>
        <v/>
      </c>
      <c r="C80" s="9" t="str">
        <f>IF('01_Forms_Raw'!H80="","",'01_Forms_Raw'!H80)</f>
        <v/>
      </c>
      <c r="D80" s="2" t="str">
        <f>IF('01_Forms_Raw'!D80="","",'01_Forms_Raw'!D80)</f>
        <v/>
      </c>
      <c r="E80" s="2" t="str">
        <f>IF('01_Forms_Raw'!E80="","",'01_Forms_Raw'!E80)</f>
        <v/>
      </c>
      <c r="F80" s="2" t="str">
        <f>IF('01_Forms_Raw'!F80="","",'01_Forms_Raw'!F80)</f>
        <v/>
      </c>
      <c r="G80" s="2" t="str">
        <f>IF('01_Forms_Raw'!G80="","",'01_Forms_Raw'!G80)</f>
        <v/>
      </c>
      <c r="H80" s="2" t="str">
        <f>IF('01_Forms_Raw'!I80="","",'01_Forms_Raw'!I80)</f>
        <v/>
      </c>
      <c r="I80" s="10" t="str">
        <f>IF('01_Forms_Raw'!J80="","",'01_Forms_Raw'!J80)</f>
        <v/>
      </c>
      <c r="J80" s="2" t="str">
        <f>IF('01_Forms_Raw'!K80="","",VALUE('01_Forms_Raw'!K80))</f>
        <v/>
      </c>
      <c r="K80" s="2" t="str">
        <f>IF('01_Forms_Raw'!L80="","",'01_Forms_Raw'!L80)</f>
        <v/>
      </c>
      <c r="L80" s="2" t="str">
        <f>IF('01_Forms_Raw'!M80="","",'01_Forms_Raw'!M80)</f>
        <v/>
      </c>
      <c r="M80" s="10"/>
      <c r="N80" s="10"/>
      <c r="O80" s="10" t="str">
        <f t="shared" si="12"/>
        <v/>
      </c>
      <c r="P80" s="10" t="str">
        <f t="shared" si="13"/>
        <v/>
      </c>
      <c r="Q80" s="2" t="str">
        <f t="shared" si="14"/>
        <v/>
      </c>
      <c r="R80" s="2" t="str">
        <f t="shared" si="15"/>
        <v/>
      </c>
      <c r="S80" s="10" t="str">
        <f t="shared" si="16"/>
        <v/>
      </c>
      <c r="T80" s="10" t="str">
        <f t="shared" si="17"/>
        <v/>
      </c>
    </row>
    <row r="81" spans="1:20">
      <c r="A81" s="2" t="str">
        <f>IF('01_Forms_Raw'!A81="","",'01_Forms_Raw'!A81)</f>
        <v/>
      </c>
      <c r="B81" s="9" t="str">
        <f>IF('01_Forms_Raw'!B81="","",'01_Forms_Raw'!B81)</f>
        <v/>
      </c>
      <c r="C81" s="9" t="str">
        <f>IF('01_Forms_Raw'!H81="","",'01_Forms_Raw'!H81)</f>
        <v/>
      </c>
      <c r="D81" s="2" t="str">
        <f>IF('01_Forms_Raw'!D81="","",'01_Forms_Raw'!D81)</f>
        <v/>
      </c>
      <c r="E81" s="2" t="str">
        <f>IF('01_Forms_Raw'!E81="","",'01_Forms_Raw'!E81)</f>
        <v/>
      </c>
      <c r="F81" s="2" t="str">
        <f>IF('01_Forms_Raw'!F81="","",'01_Forms_Raw'!F81)</f>
        <v/>
      </c>
      <c r="G81" s="2" t="str">
        <f>IF('01_Forms_Raw'!G81="","",'01_Forms_Raw'!G81)</f>
        <v/>
      </c>
      <c r="H81" s="2" t="str">
        <f>IF('01_Forms_Raw'!I81="","",'01_Forms_Raw'!I81)</f>
        <v/>
      </c>
      <c r="I81" s="10" t="str">
        <f>IF('01_Forms_Raw'!J81="","",'01_Forms_Raw'!J81)</f>
        <v/>
      </c>
      <c r="J81" s="2" t="str">
        <f>IF('01_Forms_Raw'!K81="","",VALUE('01_Forms_Raw'!K81))</f>
        <v/>
      </c>
      <c r="K81" s="2" t="str">
        <f>IF('01_Forms_Raw'!L81="","",'01_Forms_Raw'!L81)</f>
        <v/>
      </c>
      <c r="L81" s="2" t="str">
        <f>IF('01_Forms_Raw'!M81="","",'01_Forms_Raw'!M81)</f>
        <v/>
      </c>
      <c r="M81" s="10"/>
      <c r="N81" s="10"/>
      <c r="O81" s="10" t="str">
        <f t="shared" si="12"/>
        <v/>
      </c>
      <c r="P81" s="10" t="str">
        <f t="shared" si="13"/>
        <v/>
      </c>
      <c r="Q81" s="2" t="str">
        <f t="shared" si="14"/>
        <v/>
      </c>
      <c r="R81" s="2" t="str">
        <f t="shared" si="15"/>
        <v/>
      </c>
      <c r="S81" s="10" t="str">
        <f t="shared" si="16"/>
        <v/>
      </c>
      <c r="T81" s="10" t="str">
        <f t="shared" si="17"/>
        <v/>
      </c>
    </row>
    <row r="82" spans="1:20">
      <c r="A82" s="2" t="str">
        <f>IF('01_Forms_Raw'!A82="","",'01_Forms_Raw'!A82)</f>
        <v/>
      </c>
      <c r="B82" s="9" t="str">
        <f>IF('01_Forms_Raw'!B82="","",'01_Forms_Raw'!B82)</f>
        <v/>
      </c>
      <c r="C82" s="9" t="str">
        <f>IF('01_Forms_Raw'!H82="","",'01_Forms_Raw'!H82)</f>
        <v/>
      </c>
      <c r="D82" s="2" t="str">
        <f>IF('01_Forms_Raw'!D82="","",'01_Forms_Raw'!D82)</f>
        <v/>
      </c>
      <c r="E82" s="2" t="str">
        <f>IF('01_Forms_Raw'!E82="","",'01_Forms_Raw'!E82)</f>
        <v/>
      </c>
      <c r="F82" s="2" t="str">
        <f>IF('01_Forms_Raw'!F82="","",'01_Forms_Raw'!F82)</f>
        <v/>
      </c>
      <c r="G82" s="2" t="str">
        <f>IF('01_Forms_Raw'!G82="","",'01_Forms_Raw'!G82)</f>
        <v/>
      </c>
      <c r="H82" s="2" t="str">
        <f>IF('01_Forms_Raw'!I82="","",'01_Forms_Raw'!I82)</f>
        <v/>
      </c>
      <c r="I82" s="10" t="str">
        <f>IF('01_Forms_Raw'!J82="","",'01_Forms_Raw'!J82)</f>
        <v/>
      </c>
      <c r="J82" s="2" t="str">
        <f>IF('01_Forms_Raw'!K82="","",VALUE('01_Forms_Raw'!K82))</f>
        <v/>
      </c>
      <c r="K82" s="2" t="str">
        <f>IF('01_Forms_Raw'!L82="","",'01_Forms_Raw'!L82)</f>
        <v/>
      </c>
      <c r="L82" s="2" t="str">
        <f>IF('01_Forms_Raw'!M82="","",'01_Forms_Raw'!M82)</f>
        <v/>
      </c>
      <c r="M82" s="10"/>
      <c r="N82" s="10"/>
      <c r="O82" s="10" t="str">
        <f t="shared" si="12"/>
        <v/>
      </c>
      <c r="P82" s="10" t="str">
        <f t="shared" si="13"/>
        <v/>
      </c>
      <c r="Q82" s="2" t="str">
        <f t="shared" si="14"/>
        <v/>
      </c>
      <c r="R82" s="2" t="str">
        <f t="shared" si="15"/>
        <v/>
      </c>
      <c r="S82" s="10" t="str">
        <f t="shared" si="16"/>
        <v/>
      </c>
      <c r="T82" s="10" t="str">
        <f t="shared" si="17"/>
        <v/>
      </c>
    </row>
    <row r="83" spans="1:20">
      <c r="A83" s="2" t="str">
        <f>IF('01_Forms_Raw'!A83="","",'01_Forms_Raw'!A83)</f>
        <v/>
      </c>
      <c r="B83" s="9" t="str">
        <f>IF('01_Forms_Raw'!B83="","",'01_Forms_Raw'!B83)</f>
        <v/>
      </c>
      <c r="C83" s="9" t="str">
        <f>IF('01_Forms_Raw'!H83="","",'01_Forms_Raw'!H83)</f>
        <v/>
      </c>
      <c r="D83" s="2" t="str">
        <f>IF('01_Forms_Raw'!D83="","",'01_Forms_Raw'!D83)</f>
        <v/>
      </c>
      <c r="E83" s="2" t="str">
        <f>IF('01_Forms_Raw'!E83="","",'01_Forms_Raw'!E83)</f>
        <v/>
      </c>
      <c r="F83" s="2" t="str">
        <f>IF('01_Forms_Raw'!F83="","",'01_Forms_Raw'!F83)</f>
        <v/>
      </c>
      <c r="G83" s="2" t="str">
        <f>IF('01_Forms_Raw'!G83="","",'01_Forms_Raw'!G83)</f>
        <v/>
      </c>
      <c r="H83" s="2" t="str">
        <f>IF('01_Forms_Raw'!I83="","",'01_Forms_Raw'!I83)</f>
        <v/>
      </c>
      <c r="I83" s="10" t="str">
        <f>IF('01_Forms_Raw'!J83="","",'01_Forms_Raw'!J83)</f>
        <v/>
      </c>
      <c r="J83" s="2" t="str">
        <f>IF('01_Forms_Raw'!K83="","",VALUE('01_Forms_Raw'!K83))</f>
        <v/>
      </c>
      <c r="K83" s="2" t="str">
        <f>IF('01_Forms_Raw'!L83="","",'01_Forms_Raw'!L83)</f>
        <v/>
      </c>
      <c r="L83" s="2" t="str">
        <f>IF('01_Forms_Raw'!M83="","",'01_Forms_Raw'!M83)</f>
        <v/>
      </c>
      <c r="M83" s="10"/>
      <c r="N83" s="10"/>
      <c r="O83" s="10" t="str">
        <f t="shared" si="12"/>
        <v/>
      </c>
      <c r="P83" s="10" t="str">
        <f t="shared" si="13"/>
        <v/>
      </c>
      <c r="Q83" s="2" t="str">
        <f t="shared" si="14"/>
        <v/>
      </c>
      <c r="R83" s="2" t="str">
        <f t="shared" si="15"/>
        <v/>
      </c>
      <c r="S83" s="10" t="str">
        <f t="shared" si="16"/>
        <v/>
      </c>
      <c r="T83" s="10" t="str">
        <f t="shared" si="17"/>
        <v/>
      </c>
    </row>
    <row r="84" spans="1:20">
      <c r="A84" s="2" t="str">
        <f>IF('01_Forms_Raw'!A84="","",'01_Forms_Raw'!A84)</f>
        <v/>
      </c>
      <c r="B84" s="9" t="str">
        <f>IF('01_Forms_Raw'!B84="","",'01_Forms_Raw'!B84)</f>
        <v/>
      </c>
      <c r="C84" s="9" t="str">
        <f>IF('01_Forms_Raw'!H84="","",'01_Forms_Raw'!H84)</f>
        <v/>
      </c>
      <c r="D84" s="2" t="str">
        <f>IF('01_Forms_Raw'!D84="","",'01_Forms_Raw'!D84)</f>
        <v/>
      </c>
      <c r="E84" s="2" t="str">
        <f>IF('01_Forms_Raw'!E84="","",'01_Forms_Raw'!E84)</f>
        <v/>
      </c>
      <c r="F84" s="2" t="str">
        <f>IF('01_Forms_Raw'!F84="","",'01_Forms_Raw'!F84)</f>
        <v/>
      </c>
      <c r="G84" s="2" t="str">
        <f>IF('01_Forms_Raw'!G84="","",'01_Forms_Raw'!G84)</f>
        <v/>
      </c>
      <c r="H84" s="2" t="str">
        <f>IF('01_Forms_Raw'!I84="","",'01_Forms_Raw'!I84)</f>
        <v/>
      </c>
      <c r="I84" s="10" t="str">
        <f>IF('01_Forms_Raw'!J84="","",'01_Forms_Raw'!J84)</f>
        <v/>
      </c>
      <c r="J84" s="2" t="str">
        <f>IF('01_Forms_Raw'!K84="","",VALUE('01_Forms_Raw'!K84))</f>
        <v/>
      </c>
      <c r="K84" s="2" t="str">
        <f>IF('01_Forms_Raw'!L84="","",'01_Forms_Raw'!L84)</f>
        <v/>
      </c>
      <c r="L84" s="2" t="str">
        <f>IF('01_Forms_Raw'!M84="","",'01_Forms_Raw'!M84)</f>
        <v/>
      </c>
      <c r="M84" s="10"/>
      <c r="N84" s="10"/>
      <c r="O84" s="10" t="str">
        <f t="shared" si="12"/>
        <v/>
      </c>
      <c r="P84" s="10" t="str">
        <f t="shared" si="13"/>
        <v/>
      </c>
      <c r="Q84" s="2" t="str">
        <f t="shared" si="14"/>
        <v/>
      </c>
      <c r="R84" s="2" t="str">
        <f t="shared" si="15"/>
        <v/>
      </c>
      <c r="S84" s="10" t="str">
        <f t="shared" si="16"/>
        <v/>
      </c>
      <c r="T84" s="10" t="str">
        <f t="shared" si="17"/>
        <v/>
      </c>
    </row>
    <row r="85" spans="1:20">
      <c r="A85" s="2" t="str">
        <f>IF('01_Forms_Raw'!A85="","",'01_Forms_Raw'!A85)</f>
        <v/>
      </c>
      <c r="B85" s="9" t="str">
        <f>IF('01_Forms_Raw'!B85="","",'01_Forms_Raw'!B85)</f>
        <v/>
      </c>
      <c r="C85" s="9" t="str">
        <f>IF('01_Forms_Raw'!H85="","",'01_Forms_Raw'!H85)</f>
        <v/>
      </c>
      <c r="D85" s="2" t="str">
        <f>IF('01_Forms_Raw'!D85="","",'01_Forms_Raw'!D85)</f>
        <v/>
      </c>
      <c r="E85" s="2" t="str">
        <f>IF('01_Forms_Raw'!E85="","",'01_Forms_Raw'!E85)</f>
        <v/>
      </c>
      <c r="F85" s="2" t="str">
        <f>IF('01_Forms_Raw'!F85="","",'01_Forms_Raw'!F85)</f>
        <v/>
      </c>
      <c r="G85" s="2" t="str">
        <f>IF('01_Forms_Raw'!G85="","",'01_Forms_Raw'!G85)</f>
        <v/>
      </c>
      <c r="H85" s="2" t="str">
        <f>IF('01_Forms_Raw'!I85="","",'01_Forms_Raw'!I85)</f>
        <v/>
      </c>
      <c r="I85" s="10" t="str">
        <f>IF('01_Forms_Raw'!J85="","",'01_Forms_Raw'!J85)</f>
        <v/>
      </c>
      <c r="J85" s="2" t="str">
        <f>IF('01_Forms_Raw'!K85="","",VALUE('01_Forms_Raw'!K85))</f>
        <v/>
      </c>
      <c r="K85" s="2" t="str">
        <f>IF('01_Forms_Raw'!L85="","",'01_Forms_Raw'!L85)</f>
        <v/>
      </c>
      <c r="L85" s="2" t="str">
        <f>IF('01_Forms_Raw'!M85="","",'01_Forms_Raw'!M85)</f>
        <v/>
      </c>
      <c r="M85" s="10"/>
      <c r="N85" s="10"/>
      <c r="O85" s="10" t="str">
        <f t="shared" si="12"/>
        <v/>
      </c>
      <c r="P85" s="10" t="str">
        <f t="shared" si="13"/>
        <v/>
      </c>
      <c r="Q85" s="2" t="str">
        <f t="shared" si="14"/>
        <v/>
      </c>
      <c r="R85" s="2" t="str">
        <f t="shared" si="15"/>
        <v/>
      </c>
      <c r="S85" s="10" t="str">
        <f t="shared" si="16"/>
        <v/>
      </c>
      <c r="T85" s="10" t="str">
        <f t="shared" si="17"/>
        <v/>
      </c>
    </row>
    <row r="86" spans="1:20">
      <c r="A86" s="2" t="str">
        <f>IF('01_Forms_Raw'!A86="","",'01_Forms_Raw'!A86)</f>
        <v/>
      </c>
      <c r="B86" s="9" t="str">
        <f>IF('01_Forms_Raw'!B86="","",'01_Forms_Raw'!B86)</f>
        <v/>
      </c>
      <c r="C86" s="9" t="str">
        <f>IF('01_Forms_Raw'!H86="","",'01_Forms_Raw'!H86)</f>
        <v/>
      </c>
      <c r="D86" s="2" t="str">
        <f>IF('01_Forms_Raw'!D86="","",'01_Forms_Raw'!D86)</f>
        <v/>
      </c>
      <c r="E86" s="2" t="str">
        <f>IF('01_Forms_Raw'!E86="","",'01_Forms_Raw'!E86)</f>
        <v/>
      </c>
      <c r="F86" s="2" t="str">
        <f>IF('01_Forms_Raw'!F86="","",'01_Forms_Raw'!F86)</f>
        <v/>
      </c>
      <c r="G86" s="2" t="str">
        <f>IF('01_Forms_Raw'!G86="","",'01_Forms_Raw'!G86)</f>
        <v/>
      </c>
      <c r="H86" s="2" t="str">
        <f>IF('01_Forms_Raw'!I86="","",'01_Forms_Raw'!I86)</f>
        <v/>
      </c>
      <c r="I86" s="10" t="str">
        <f>IF('01_Forms_Raw'!J86="","",'01_Forms_Raw'!J86)</f>
        <v/>
      </c>
      <c r="J86" s="2" t="str">
        <f>IF('01_Forms_Raw'!K86="","",VALUE('01_Forms_Raw'!K86))</f>
        <v/>
      </c>
      <c r="K86" s="2" t="str">
        <f>IF('01_Forms_Raw'!L86="","",'01_Forms_Raw'!L86)</f>
        <v/>
      </c>
      <c r="L86" s="2" t="str">
        <f>IF('01_Forms_Raw'!M86="","",'01_Forms_Raw'!M86)</f>
        <v/>
      </c>
      <c r="M86" s="10"/>
      <c r="N86" s="10"/>
      <c r="O86" s="10" t="str">
        <f t="shared" si="12"/>
        <v/>
      </c>
      <c r="P86" s="10" t="str">
        <f t="shared" si="13"/>
        <v/>
      </c>
      <c r="Q86" s="2" t="str">
        <f t="shared" si="14"/>
        <v/>
      </c>
      <c r="R86" s="2" t="str">
        <f t="shared" si="15"/>
        <v/>
      </c>
      <c r="S86" s="10" t="str">
        <f t="shared" si="16"/>
        <v/>
      </c>
      <c r="T86" s="10" t="str">
        <f t="shared" si="17"/>
        <v/>
      </c>
    </row>
    <row r="87" spans="1:20">
      <c r="A87" s="2" t="str">
        <f>IF('01_Forms_Raw'!A87="","",'01_Forms_Raw'!A87)</f>
        <v/>
      </c>
      <c r="B87" s="9" t="str">
        <f>IF('01_Forms_Raw'!B87="","",'01_Forms_Raw'!B87)</f>
        <v/>
      </c>
      <c r="C87" s="9" t="str">
        <f>IF('01_Forms_Raw'!H87="","",'01_Forms_Raw'!H87)</f>
        <v/>
      </c>
      <c r="D87" s="2" t="str">
        <f>IF('01_Forms_Raw'!D87="","",'01_Forms_Raw'!D87)</f>
        <v/>
      </c>
      <c r="E87" s="2" t="str">
        <f>IF('01_Forms_Raw'!E87="","",'01_Forms_Raw'!E87)</f>
        <v/>
      </c>
      <c r="F87" s="2" t="str">
        <f>IF('01_Forms_Raw'!F87="","",'01_Forms_Raw'!F87)</f>
        <v/>
      </c>
      <c r="G87" s="2" t="str">
        <f>IF('01_Forms_Raw'!G87="","",'01_Forms_Raw'!G87)</f>
        <v/>
      </c>
      <c r="H87" s="2" t="str">
        <f>IF('01_Forms_Raw'!I87="","",'01_Forms_Raw'!I87)</f>
        <v/>
      </c>
      <c r="I87" s="10" t="str">
        <f>IF('01_Forms_Raw'!J87="","",'01_Forms_Raw'!J87)</f>
        <v/>
      </c>
      <c r="J87" s="2" t="str">
        <f>IF('01_Forms_Raw'!K87="","",VALUE('01_Forms_Raw'!K87))</f>
        <v/>
      </c>
      <c r="K87" s="2" t="str">
        <f>IF('01_Forms_Raw'!L87="","",'01_Forms_Raw'!L87)</f>
        <v/>
      </c>
      <c r="L87" s="2" t="str">
        <f>IF('01_Forms_Raw'!M87="","",'01_Forms_Raw'!M87)</f>
        <v/>
      </c>
      <c r="M87" s="10"/>
      <c r="N87" s="10"/>
      <c r="O87" s="10" t="str">
        <f t="shared" si="12"/>
        <v/>
      </c>
      <c r="P87" s="10" t="str">
        <f t="shared" si="13"/>
        <v/>
      </c>
      <c r="Q87" s="2" t="str">
        <f t="shared" si="14"/>
        <v/>
      </c>
      <c r="R87" s="2" t="str">
        <f t="shared" si="15"/>
        <v/>
      </c>
      <c r="S87" s="10" t="str">
        <f t="shared" si="16"/>
        <v/>
      </c>
      <c r="T87" s="10" t="str">
        <f t="shared" si="17"/>
        <v/>
      </c>
    </row>
    <row r="88" spans="1:20">
      <c r="A88" s="2" t="str">
        <f>IF('01_Forms_Raw'!A88="","",'01_Forms_Raw'!A88)</f>
        <v/>
      </c>
      <c r="B88" s="9" t="str">
        <f>IF('01_Forms_Raw'!B88="","",'01_Forms_Raw'!B88)</f>
        <v/>
      </c>
      <c r="C88" s="9" t="str">
        <f>IF('01_Forms_Raw'!H88="","",'01_Forms_Raw'!H88)</f>
        <v/>
      </c>
      <c r="D88" s="2" t="str">
        <f>IF('01_Forms_Raw'!D88="","",'01_Forms_Raw'!D88)</f>
        <v/>
      </c>
      <c r="E88" s="2" t="str">
        <f>IF('01_Forms_Raw'!E88="","",'01_Forms_Raw'!E88)</f>
        <v/>
      </c>
      <c r="F88" s="2" t="str">
        <f>IF('01_Forms_Raw'!F88="","",'01_Forms_Raw'!F88)</f>
        <v/>
      </c>
      <c r="G88" s="2" t="str">
        <f>IF('01_Forms_Raw'!G88="","",'01_Forms_Raw'!G88)</f>
        <v/>
      </c>
      <c r="H88" s="2" t="str">
        <f>IF('01_Forms_Raw'!I88="","",'01_Forms_Raw'!I88)</f>
        <v/>
      </c>
      <c r="I88" s="10" t="str">
        <f>IF('01_Forms_Raw'!J88="","",'01_Forms_Raw'!J88)</f>
        <v/>
      </c>
      <c r="J88" s="2" t="str">
        <f>IF('01_Forms_Raw'!K88="","",VALUE('01_Forms_Raw'!K88))</f>
        <v/>
      </c>
      <c r="K88" s="2" t="str">
        <f>IF('01_Forms_Raw'!L88="","",'01_Forms_Raw'!L88)</f>
        <v/>
      </c>
      <c r="L88" s="2" t="str">
        <f>IF('01_Forms_Raw'!M88="","",'01_Forms_Raw'!M88)</f>
        <v/>
      </c>
      <c r="M88" s="10"/>
      <c r="N88" s="10"/>
      <c r="O88" s="10" t="str">
        <f t="shared" si="12"/>
        <v/>
      </c>
      <c r="P88" s="10" t="str">
        <f t="shared" si="13"/>
        <v/>
      </c>
      <c r="Q88" s="2" t="str">
        <f t="shared" si="14"/>
        <v/>
      </c>
      <c r="R88" s="2" t="str">
        <f t="shared" si="15"/>
        <v/>
      </c>
      <c r="S88" s="10" t="str">
        <f t="shared" si="16"/>
        <v/>
      </c>
      <c r="T88" s="10" t="str">
        <f t="shared" si="17"/>
        <v/>
      </c>
    </row>
    <row r="89" spans="1:20">
      <c r="A89" s="2" t="str">
        <f>IF('01_Forms_Raw'!A89="","",'01_Forms_Raw'!A89)</f>
        <v/>
      </c>
      <c r="B89" s="9" t="str">
        <f>IF('01_Forms_Raw'!B89="","",'01_Forms_Raw'!B89)</f>
        <v/>
      </c>
      <c r="C89" s="9" t="str">
        <f>IF('01_Forms_Raw'!H89="","",'01_Forms_Raw'!H89)</f>
        <v/>
      </c>
      <c r="D89" s="2" t="str">
        <f>IF('01_Forms_Raw'!D89="","",'01_Forms_Raw'!D89)</f>
        <v/>
      </c>
      <c r="E89" s="2" t="str">
        <f>IF('01_Forms_Raw'!E89="","",'01_Forms_Raw'!E89)</f>
        <v/>
      </c>
      <c r="F89" s="2" t="str">
        <f>IF('01_Forms_Raw'!F89="","",'01_Forms_Raw'!F89)</f>
        <v/>
      </c>
      <c r="G89" s="2" t="str">
        <f>IF('01_Forms_Raw'!G89="","",'01_Forms_Raw'!G89)</f>
        <v/>
      </c>
      <c r="H89" s="2" t="str">
        <f>IF('01_Forms_Raw'!I89="","",'01_Forms_Raw'!I89)</f>
        <v/>
      </c>
      <c r="I89" s="10" t="str">
        <f>IF('01_Forms_Raw'!J89="","",'01_Forms_Raw'!J89)</f>
        <v/>
      </c>
      <c r="J89" s="2" t="str">
        <f>IF('01_Forms_Raw'!K89="","",VALUE('01_Forms_Raw'!K89))</f>
        <v/>
      </c>
      <c r="K89" s="2" t="str">
        <f>IF('01_Forms_Raw'!L89="","",'01_Forms_Raw'!L89)</f>
        <v/>
      </c>
      <c r="L89" s="2" t="str">
        <f>IF('01_Forms_Raw'!M89="","",'01_Forms_Raw'!M89)</f>
        <v/>
      </c>
      <c r="M89" s="10"/>
      <c r="N89" s="10"/>
      <c r="O89" s="10" t="str">
        <f t="shared" si="12"/>
        <v/>
      </c>
      <c r="P89" s="10" t="str">
        <f t="shared" si="13"/>
        <v/>
      </c>
      <c r="Q89" s="2" t="str">
        <f t="shared" si="14"/>
        <v/>
      </c>
      <c r="R89" s="2" t="str">
        <f t="shared" si="15"/>
        <v/>
      </c>
      <c r="S89" s="10" t="str">
        <f t="shared" si="16"/>
        <v/>
      </c>
      <c r="T89" s="10" t="str">
        <f t="shared" si="17"/>
        <v/>
      </c>
    </row>
    <row r="90" spans="1:20">
      <c r="A90" s="2" t="str">
        <f>IF('01_Forms_Raw'!A90="","",'01_Forms_Raw'!A90)</f>
        <v/>
      </c>
      <c r="B90" s="9" t="str">
        <f>IF('01_Forms_Raw'!B90="","",'01_Forms_Raw'!B90)</f>
        <v/>
      </c>
      <c r="C90" s="9" t="str">
        <f>IF('01_Forms_Raw'!H90="","",'01_Forms_Raw'!H90)</f>
        <v/>
      </c>
      <c r="D90" s="2" t="str">
        <f>IF('01_Forms_Raw'!D90="","",'01_Forms_Raw'!D90)</f>
        <v/>
      </c>
      <c r="E90" s="2" t="str">
        <f>IF('01_Forms_Raw'!E90="","",'01_Forms_Raw'!E90)</f>
        <v/>
      </c>
      <c r="F90" s="2" t="str">
        <f>IF('01_Forms_Raw'!F90="","",'01_Forms_Raw'!F90)</f>
        <v/>
      </c>
      <c r="G90" s="2" t="str">
        <f>IF('01_Forms_Raw'!G90="","",'01_Forms_Raw'!G90)</f>
        <v/>
      </c>
      <c r="H90" s="2" t="str">
        <f>IF('01_Forms_Raw'!I90="","",'01_Forms_Raw'!I90)</f>
        <v/>
      </c>
      <c r="I90" s="10" t="str">
        <f>IF('01_Forms_Raw'!J90="","",'01_Forms_Raw'!J90)</f>
        <v/>
      </c>
      <c r="J90" s="2" t="str">
        <f>IF('01_Forms_Raw'!K90="","",VALUE('01_Forms_Raw'!K90))</f>
        <v/>
      </c>
      <c r="K90" s="2" t="str">
        <f>IF('01_Forms_Raw'!L90="","",'01_Forms_Raw'!L90)</f>
        <v/>
      </c>
      <c r="L90" s="2" t="str">
        <f>IF('01_Forms_Raw'!M90="","",'01_Forms_Raw'!M90)</f>
        <v/>
      </c>
      <c r="M90" s="10"/>
      <c r="N90" s="10"/>
      <c r="O90" s="10" t="str">
        <f t="shared" si="12"/>
        <v/>
      </c>
      <c r="P90" s="10" t="str">
        <f t="shared" si="13"/>
        <v/>
      </c>
      <c r="Q90" s="2" t="str">
        <f t="shared" si="14"/>
        <v/>
      </c>
      <c r="R90" s="2" t="str">
        <f t="shared" si="15"/>
        <v/>
      </c>
      <c r="S90" s="10" t="str">
        <f t="shared" si="16"/>
        <v/>
      </c>
      <c r="T90" s="10" t="str">
        <f t="shared" si="17"/>
        <v/>
      </c>
    </row>
    <row r="91" spans="1:20">
      <c r="A91" s="2" t="str">
        <f>IF('01_Forms_Raw'!A91="","",'01_Forms_Raw'!A91)</f>
        <v/>
      </c>
      <c r="B91" s="9" t="str">
        <f>IF('01_Forms_Raw'!B91="","",'01_Forms_Raw'!B91)</f>
        <v/>
      </c>
      <c r="C91" s="9" t="str">
        <f>IF('01_Forms_Raw'!H91="","",'01_Forms_Raw'!H91)</f>
        <v/>
      </c>
      <c r="D91" s="2" t="str">
        <f>IF('01_Forms_Raw'!D91="","",'01_Forms_Raw'!D91)</f>
        <v/>
      </c>
      <c r="E91" s="2" t="str">
        <f>IF('01_Forms_Raw'!E91="","",'01_Forms_Raw'!E91)</f>
        <v/>
      </c>
      <c r="F91" s="2" t="str">
        <f>IF('01_Forms_Raw'!F91="","",'01_Forms_Raw'!F91)</f>
        <v/>
      </c>
      <c r="G91" s="2" t="str">
        <f>IF('01_Forms_Raw'!G91="","",'01_Forms_Raw'!G91)</f>
        <v/>
      </c>
      <c r="H91" s="2" t="str">
        <f>IF('01_Forms_Raw'!I91="","",'01_Forms_Raw'!I91)</f>
        <v/>
      </c>
      <c r="I91" s="10" t="str">
        <f>IF('01_Forms_Raw'!J91="","",'01_Forms_Raw'!J91)</f>
        <v/>
      </c>
      <c r="J91" s="2" t="str">
        <f>IF('01_Forms_Raw'!K91="","",VALUE('01_Forms_Raw'!K91))</f>
        <v/>
      </c>
      <c r="K91" s="2" t="str">
        <f>IF('01_Forms_Raw'!L91="","",'01_Forms_Raw'!L91)</f>
        <v/>
      </c>
      <c r="L91" s="2" t="str">
        <f>IF('01_Forms_Raw'!M91="","",'01_Forms_Raw'!M91)</f>
        <v/>
      </c>
      <c r="M91" s="10"/>
      <c r="N91" s="10"/>
      <c r="O91" s="10" t="str">
        <f t="shared" si="12"/>
        <v/>
      </c>
      <c r="P91" s="10" t="str">
        <f t="shared" si="13"/>
        <v/>
      </c>
      <c r="Q91" s="2" t="str">
        <f t="shared" si="14"/>
        <v/>
      </c>
      <c r="R91" s="2" t="str">
        <f t="shared" si="15"/>
        <v/>
      </c>
      <c r="S91" s="10" t="str">
        <f t="shared" si="16"/>
        <v/>
      </c>
      <c r="T91" s="10" t="str">
        <f t="shared" si="17"/>
        <v/>
      </c>
    </row>
    <row r="92" spans="1:20">
      <c r="A92" s="2" t="str">
        <f>IF('01_Forms_Raw'!A92="","",'01_Forms_Raw'!A92)</f>
        <v/>
      </c>
      <c r="B92" s="9" t="str">
        <f>IF('01_Forms_Raw'!B92="","",'01_Forms_Raw'!B92)</f>
        <v/>
      </c>
      <c r="C92" s="9" t="str">
        <f>IF('01_Forms_Raw'!H92="","",'01_Forms_Raw'!H92)</f>
        <v/>
      </c>
      <c r="D92" s="2" t="str">
        <f>IF('01_Forms_Raw'!D92="","",'01_Forms_Raw'!D92)</f>
        <v/>
      </c>
      <c r="E92" s="2" t="str">
        <f>IF('01_Forms_Raw'!E92="","",'01_Forms_Raw'!E92)</f>
        <v/>
      </c>
      <c r="F92" s="2" t="str">
        <f>IF('01_Forms_Raw'!F92="","",'01_Forms_Raw'!F92)</f>
        <v/>
      </c>
      <c r="G92" s="2" t="str">
        <f>IF('01_Forms_Raw'!G92="","",'01_Forms_Raw'!G92)</f>
        <v/>
      </c>
      <c r="H92" s="2" t="str">
        <f>IF('01_Forms_Raw'!I92="","",'01_Forms_Raw'!I92)</f>
        <v/>
      </c>
      <c r="I92" s="10" t="str">
        <f>IF('01_Forms_Raw'!J92="","",'01_Forms_Raw'!J92)</f>
        <v/>
      </c>
      <c r="J92" s="2" t="str">
        <f>IF('01_Forms_Raw'!K92="","",VALUE('01_Forms_Raw'!K92))</f>
        <v/>
      </c>
      <c r="K92" s="2" t="str">
        <f>IF('01_Forms_Raw'!L92="","",'01_Forms_Raw'!L92)</f>
        <v/>
      </c>
      <c r="L92" s="2" t="str">
        <f>IF('01_Forms_Raw'!M92="","",'01_Forms_Raw'!M92)</f>
        <v/>
      </c>
      <c r="M92" s="10"/>
      <c r="N92" s="10"/>
      <c r="O92" s="10" t="str">
        <f t="shared" si="12"/>
        <v/>
      </c>
      <c r="P92" s="10" t="str">
        <f t="shared" si="13"/>
        <v/>
      </c>
      <c r="Q92" s="2" t="str">
        <f t="shared" si="14"/>
        <v/>
      </c>
      <c r="R92" s="2" t="str">
        <f t="shared" si="15"/>
        <v/>
      </c>
      <c r="S92" s="10" t="str">
        <f t="shared" si="16"/>
        <v/>
      </c>
      <c r="T92" s="10" t="str">
        <f t="shared" si="17"/>
        <v/>
      </c>
    </row>
    <row r="93" spans="1:20">
      <c r="A93" s="2" t="str">
        <f>IF('01_Forms_Raw'!A93="","",'01_Forms_Raw'!A93)</f>
        <v/>
      </c>
      <c r="B93" s="9" t="str">
        <f>IF('01_Forms_Raw'!B93="","",'01_Forms_Raw'!B93)</f>
        <v/>
      </c>
      <c r="C93" s="9" t="str">
        <f>IF('01_Forms_Raw'!H93="","",'01_Forms_Raw'!H93)</f>
        <v/>
      </c>
      <c r="D93" s="2" t="str">
        <f>IF('01_Forms_Raw'!D93="","",'01_Forms_Raw'!D93)</f>
        <v/>
      </c>
      <c r="E93" s="2" t="str">
        <f>IF('01_Forms_Raw'!E93="","",'01_Forms_Raw'!E93)</f>
        <v/>
      </c>
      <c r="F93" s="2" t="str">
        <f>IF('01_Forms_Raw'!F93="","",'01_Forms_Raw'!F93)</f>
        <v/>
      </c>
      <c r="G93" s="2" t="str">
        <f>IF('01_Forms_Raw'!G93="","",'01_Forms_Raw'!G93)</f>
        <v/>
      </c>
      <c r="H93" s="2" t="str">
        <f>IF('01_Forms_Raw'!I93="","",'01_Forms_Raw'!I93)</f>
        <v/>
      </c>
      <c r="I93" s="10" t="str">
        <f>IF('01_Forms_Raw'!J93="","",'01_Forms_Raw'!J93)</f>
        <v/>
      </c>
      <c r="J93" s="2" t="str">
        <f>IF('01_Forms_Raw'!K93="","",VALUE('01_Forms_Raw'!K93))</f>
        <v/>
      </c>
      <c r="K93" s="2" t="str">
        <f>IF('01_Forms_Raw'!L93="","",'01_Forms_Raw'!L93)</f>
        <v/>
      </c>
      <c r="L93" s="2" t="str">
        <f>IF('01_Forms_Raw'!M93="","",'01_Forms_Raw'!M93)</f>
        <v/>
      </c>
      <c r="M93" s="10"/>
      <c r="N93" s="10"/>
      <c r="O93" s="10" t="str">
        <f t="shared" si="12"/>
        <v/>
      </c>
      <c r="P93" s="10" t="str">
        <f t="shared" si="13"/>
        <v/>
      </c>
      <c r="Q93" s="2" t="str">
        <f t="shared" si="14"/>
        <v/>
      </c>
      <c r="R93" s="2" t="str">
        <f t="shared" si="15"/>
        <v/>
      </c>
      <c r="S93" s="10" t="str">
        <f t="shared" si="16"/>
        <v/>
      </c>
      <c r="T93" s="10" t="str">
        <f t="shared" si="17"/>
        <v/>
      </c>
    </row>
    <row r="94" spans="1:20">
      <c r="A94" s="2" t="str">
        <f>IF('01_Forms_Raw'!A94="","",'01_Forms_Raw'!A94)</f>
        <v/>
      </c>
      <c r="B94" s="9" t="str">
        <f>IF('01_Forms_Raw'!B94="","",'01_Forms_Raw'!B94)</f>
        <v/>
      </c>
      <c r="C94" s="9" t="str">
        <f>IF('01_Forms_Raw'!H94="","",'01_Forms_Raw'!H94)</f>
        <v/>
      </c>
      <c r="D94" s="2" t="str">
        <f>IF('01_Forms_Raw'!D94="","",'01_Forms_Raw'!D94)</f>
        <v/>
      </c>
      <c r="E94" s="2" t="str">
        <f>IF('01_Forms_Raw'!E94="","",'01_Forms_Raw'!E94)</f>
        <v/>
      </c>
      <c r="F94" s="2" t="str">
        <f>IF('01_Forms_Raw'!F94="","",'01_Forms_Raw'!F94)</f>
        <v/>
      </c>
      <c r="G94" s="2" t="str">
        <f>IF('01_Forms_Raw'!G94="","",'01_Forms_Raw'!G94)</f>
        <v/>
      </c>
      <c r="H94" s="2" t="str">
        <f>IF('01_Forms_Raw'!I94="","",'01_Forms_Raw'!I94)</f>
        <v/>
      </c>
      <c r="I94" s="10" t="str">
        <f>IF('01_Forms_Raw'!J94="","",'01_Forms_Raw'!J94)</f>
        <v/>
      </c>
      <c r="J94" s="2" t="str">
        <f>IF('01_Forms_Raw'!K94="","",VALUE('01_Forms_Raw'!K94))</f>
        <v/>
      </c>
      <c r="K94" s="2" t="str">
        <f>IF('01_Forms_Raw'!L94="","",'01_Forms_Raw'!L94)</f>
        <v/>
      </c>
      <c r="L94" s="2" t="str">
        <f>IF('01_Forms_Raw'!M94="","",'01_Forms_Raw'!M94)</f>
        <v/>
      </c>
      <c r="M94" s="10"/>
      <c r="N94" s="10"/>
      <c r="O94" s="10" t="str">
        <f t="shared" si="12"/>
        <v/>
      </c>
      <c r="P94" s="10" t="str">
        <f t="shared" si="13"/>
        <v/>
      </c>
      <c r="Q94" s="2" t="str">
        <f t="shared" si="14"/>
        <v/>
      </c>
      <c r="R94" s="2" t="str">
        <f t="shared" si="15"/>
        <v/>
      </c>
      <c r="S94" s="10" t="str">
        <f t="shared" si="16"/>
        <v/>
      </c>
      <c r="T94" s="10" t="str">
        <f t="shared" si="17"/>
        <v/>
      </c>
    </row>
    <row r="95" spans="1:20">
      <c r="A95" s="2" t="str">
        <f>IF('01_Forms_Raw'!A95="","",'01_Forms_Raw'!A95)</f>
        <v/>
      </c>
      <c r="B95" s="9" t="str">
        <f>IF('01_Forms_Raw'!B95="","",'01_Forms_Raw'!B95)</f>
        <v/>
      </c>
      <c r="C95" s="9" t="str">
        <f>IF('01_Forms_Raw'!H95="","",'01_Forms_Raw'!H95)</f>
        <v/>
      </c>
      <c r="D95" s="2" t="str">
        <f>IF('01_Forms_Raw'!D95="","",'01_Forms_Raw'!D95)</f>
        <v/>
      </c>
      <c r="E95" s="2" t="str">
        <f>IF('01_Forms_Raw'!E95="","",'01_Forms_Raw'!E95)</f>
        <v/>
      </c>
      <c r="F95" s="2" t="str">
        <f>IF('01_Forms_Raw'!F95="","",'01_Forms_Raw'!F95)</f>
        <v/>
      </c>
      <c r="G95" s="2" t="str">
        <f>IF('01_Forms_Raw'!G95="","",'01_Forms_Raw'!G95)</f>
        <v/>
      </c>
      <c r="H95" s="2" t="str">
        <f>IF('01_Forms_Raw'!I95="","",'01_Forms_Raw'!I95)</f>
        <v/>
      </c>
      <c r="I95" s="10" t="str">
        <f>IF('01_Forms_Raw'!J95="","",'01_Forms_Raw'!J95)</f>
        <v/>
      </c>
      <c r="J95" s="2" t="str">
        <f>IF('01_Forms_Raw'!K95="","",VALUE('01_Forms_Raw'!K95))</f>
        <v/>
      </c>
      <c r="K95" s="2" t="str">
        <f>IF('01_Forms_Raw'!L95="","",'01_Forms_Raw'!L95)</f>
        <v/>
      </c>
      <c r="L95" s="2" t="str">
        <f>IF('01_Forms_Raw'!M95="","",'01_Forms_Raw'!M95)</f>
        <v/>
      </c>
      <c r="M95" s="10"/>
      <c r="N95" s="10"/>
      <c r="O95" s="10" t="str">
        <f t="shared" si="12"/>
        <v/>
      </c>
      <c r="P95" s="10" t="str">
        <f t="shared" si="13"/>
        <v/>
      </c>
      <c r="Q95" s="2" t="str">
        <f t="shared" si="14"/>
        <v/>
      </c>
      <c r="R95" s="2" t="str">
        <f t="shared" si="15"/>
        <v/>
      </c>
      <c r="S95" s="10" t="str">
        <f t="shared" si="16"/>
        <v/>
      </c>
      <c r="T95" s="10" t="str">
        <f t="shared" si="17"/>
        <v/>
      </c>
    </row>
    <row r="96" spans="1:20">
      <c r="A96" s="2" t="str">
        <f>IF('01_Forms_Raw'!A96="","",'01_Forms_Raw'!A96)</f>
        <v/>
      </c>
      <c r="B96" s="9" t="str">
        <f>IF('01_Forms_Raw'!B96="","",'01_Forms_Raw'!B96)</f>
        <v/>
      </c>
      <c r="C96" s="9" t="str">
        <f>IF('01_Forms_Raw'!H96="","",'01_Forms_Raw'!H96)</f>
        <v/>
      </c>
      <c r="D96" s="2" t="str">
        <f>IF('01_Forms_Raw'!D96="","",'01_Forms_Raw'!D96)</f>
        <v/>
      </c>
      <c r="E96" s="2" t="str">
        <f>IF('01_Forms_Raw'!E96="","",'01_Forms_Raw'!E96)</f>
        <v/>
      </c>
      <c r="F96" s="2" t="str">
        <f>IF('01_Forms_Raw'!F96="","",'01_Forms_Raw'!F96)</f>
        <v/>
      </c>
      <c r="G96" s="2" t="str">
        <f>IF('01_Forms_Raw'!G96="","",'01_Forms_Raw'!G96)</f>
        <v/>
      </c>
      <c r="H96" s="2" t="str">
        <f>IF('01_Forms_Raw'!I96="","",'01_Forms_Raw'!I96)</f>
        <v/>
      </c>
      <c r="I96" s="10" t="str">
        <f>IF('01_Forms_Raw'!J96="","",'01_Forms_Raw'!J96)</f>
        <v/>
      </c>
      <c r="J96" s="2" t="str">
        <f>IF('01_Forms_Raw'!K96="","",VALUE('01_Forms_Raw'!K96))</f>
        <v/>
      </c>
      <c r="K96" s="2" t="str">
        <f>IF('01_Forms_Raw'!L96="","",'01_Forms_Raw'!L96)</f>
        <v/>
      </c>
      <c r="L96" s="2" t="str">
        <f>IF('01_Forms_Raw'!M96="","",'01_Forms_Raw'!M96)</f>
        <v/>
      </c>
      <c r="M96" s="10"/>
      <c r="N96" s="10"/>
      <c r="O96" s="10" t="str">
        <f t="shared" si="12"/>
        <v/>
      </c>
      <c r="P96" s="10" t="str">
        <f t="shared" si="13"/>
        <v/>
      </c>
      <c r="Q96" s="2" t="str">
        <f t="shared" si="14"/>
        <v/>
      </c>
      <c r="R96" s="2" t="str">
        <f t="shared" si="15"/>
        <v/>
      </c>
      <c r="S96" s="10" t="str">
        <f t="shared" si="16"/>
        <v/>
      </c>
      <c r="T96" s="10" t="str">
        <f t="shared" si="17"/>
        <v/>
      </c>
    </row>
    <row r="97" spans="1:20">
      <c r="A97" s="2" t="str">
        <f>IF('01_Forms_Raw'!A97="","",'01_Forms_Raw'!A97)</f>
        <v/>
      </c>
      <c r="B97" s="9" t="str">
        <f>IF('01_Forms_Raw'!B97="","",'01_Forms_Raw'!B97)</f>
        <v/>
      </c>
      <c r="C97" s="9" t="str">
        <f>IF('01_Forms_Raw'!H97="","",'01_Forms_Raw'!H97)</f>
        <v/>
      </c>
      <c r="D97" s="2" t="str">
        <f>IF('01_Forms_Raw'!D97="","",'01_Forms_Raw'!D97)</f>
        <v/>
      </c>
      <c r="E97" s="2" t="str">
        <f>IF('01_Forms_Raw'!E97="","",'01_Forms_Raw'!E97)</f>
        <v/>
      </c>
      <c r="F97" s="2" t="str">
        <f>IF('01_Forms_Raw'!F97="","",'01_Forms_Raw'!F97)</f>
        <v/>
      </c>
      <c r="G97" s="2" t="str">
        <f>IF('01_Forms_Raw'!G97="","",'01_Forms_Raw'!G97)</f>
        <v/>
      </c>
      <c r="H97" s="2" t="str">
        <f>IF('01_Forms_Raw'!I97="","",'01_Forms_Raw'!I97)</f>
        <v/>
      </c>
      <c r="I97" s="10" t="str">
        <f>IF('01_Forms_Raw'!J97="","",'01_Forms_Raw'!J97)</f>
        <v/>
      </c>
      <c r="J97" s="2" t="str">
        <f>IF('01_Forms_Raw'!K97="","",VALUE('01_Forms_Raw'!K97))</f>
        <v/>
      </c>
      <c r="K97" s="2" t="str">
        <f>IF('01_Forms_Raw'!L97="","",'01_Forms_Raw'!L97)</f>
        <v/>
      </c>
      <c r="L97" s="2" t="str">
        <f>IF('01_Forms_Raw'!M97="","",'01_Forms_Raw'!M97)</f>
        <v/>
      </c>
      <c r="M97" s="10"/>
      <c r="N97" s="10"/>
      <c r="O97" s="10" t="str">
        <f t="shared" si="12"/>
        <v/>
      </c>
      <c r="P97" s="10" t="str">
        <f t="shared" si="13"/>
        <v/>
      </c>
      <c r="Q97" s="2" t="str">
        <f t="shared" si="14"/>
        <v/>
      </c>
      <c r="R97" s="2" t="str">
        <f t="shared" si="15"/>
        <v/>
      </c>
      <c r="S97" s="10" t="str">
        <f t="shared" si="16"/>
        <v/>
      </c>
      <c r="T97" s="10" t="str">
        <f t="shared" si="17"/>
        <v/>
      </c>
    </row>
    <row r="98" spans="1:20">
      <c r="A98" s="2" t="str">
        <f>IF('01_Forms_Raw'!A98="","",'01_Forms_Raw'!A98)</f>
        <v/>
      </c>
      <c r="B98" s="9" t="str">
        <f>IF('01_Forms_Raw'!B98="","",'01_Forms_Raw'!B98)</f>
        <v/>
      </c>
      <c r="C98" s="9" t="str">
        <f>IF('01_Forms_Raw'!H98="","",'01_Forms_Raw'!H98)</f>
        <v/>
      </c>
      <c r="D98" s="2" t="str">
        <f>IF('01_Forms_Raw'!D98="","",'01_Forms_Raw'!D98)</f>
        <v/>
      </c>
      <c r="E98" s="2" t="str">
        <f>IF('01_Forms_Raw'!E98="","",'01_Forms_Raw'!E98)</f>
        <v/>
      </c>
      <c r="F98" s="2" t="str">
        <f>IF('01_Forms_Raw'!F98="","",'01_Forms_Raw'!F98)</f>
        <v/>
      </c>
      <c r="G98" s="2" t="str">
        <f>IF('01_Forms_Raw'!G98="","",'01_Forms_Raw'!G98)</f>
        <v/>
      </c>
      <c r="H98" s="2" t="str">
        <f>IF('01_Forms_Raw'!I98="","",'01_Forms_Raw'!I98)</f>
        <v/>
      </c>
      <c r="I98" s="10" t="str">
        <f>IF('01_Forms_Raw'!J98="","",'01_Forms_Raw'!J98)</f>
        <v/>
      </c>
      <c r="J98" s="2" t="str">
        <f>IF('01_Forms_Raw'!K98="","",VALUE('01_Forms_Raw'!K98))</f>
        <v/>
      </c>
      <c r="K98" s="2" t="str">
        <f>IF('01_Forms_Raw'!L98="","",'01_Forms_Raw'!L98)</f>
        <v/>
      </c>
      <c r="L98" s="2" t="str">
        <f>IF('01_Forms_Raw'!M98="","",'01_Forms_Raw'!M98)</f>
        <v/>
      </c>
      <c r="M98" s="10"/>
      <c r="N98" s="10"/>
      <c r="O98" s="10" t="str">
        <f t="shared" ref="O98:O129" si="18">IF(A98="","",IF(AND(D98&lt;&gt;"",E98&lt;&gt;"",H98&lt;&gt;"",I98&lt;&gt;"",J98&lt;&gt;"",K98&lt;&gt;""),"Completa","Incompleta"))</f>
        <v/>
      </c>
      <c r="P98" s="10" t="str">
        <f t="shared" ref="P98:P129" si="19">IF(A98="","",K98-C98)</f>
        <v/>
      </c>
      <c r="Q98" s="2" t="str">
        <f t="shared" ref="Q98:Q129" si="20">IF(A98="","",IF(P98&lt;3,"Riesgo SLA",IF(P98&lt;7,"Corto","OK")))</f>
        <v/>
      </c>
      <c r="R98" s="2" t="str">
        <f t="shared" ref="R98:R129" si="21">IF(A98="","","OT-UM-"&amp;TEXT(C98,"yyyymm")&amp;"-"&amp;TEXT(A98,"000"))</f>
        <v/>
      </c>
      <c r="S98" s="10" t="str">
        <f t="shared" ref="S98:S129" si="22">IF(A98="","",IF(O98="Completa","Sí","No"))</f>
        <v/>
      </c>
      <c r="T98" s="10" t="str">
        <f t="shared" ref="T98:T129" si="23">IF(A98="","",IF(O98="Completa","Lista para OT","Completar brief antes de pasar a diseño"))</f>
        <v/>
      </c>
    </row>
    <row r="99" spans="1:20">
      <c r="A99" s="2" t="str">
        <f>IF('01_Forms_Raw'!A99="","",'01_Forms_Raw'!A99)</f>
        <v/>
      </c>
      <c r="B99" s="9" t="str">
        <f>IF('01_Forms_Raw'!B99="","",'01_Forms_Raw'!B99)</f>
        <v/>
      </c>
      <c r="C99" s="9" t="str">
        <f>IF('01_Forms_Raw'!H99="","",'01_Forms_Raw'!H99)</f>
        <v/>
      </c>
      <c r="D99" s="2" t="str">
        <f>IF('01_Forms_Raw'!D99="","",'01_Forms_Raw'!D99)</f>
        <v/>
      </c>
      <c r="E99" s="2" t="str">
        <f>IF('01_Forms_Raw'!E99="","",'01_Forms_Raw'!E99)</f>
        <v/>
      </c>
      <c r="F99" s="2" t="str">
        <f>IF('01_Forms_Raw'!F99="","",'01_Forms_Raw'!F99)</f>
        <v/>
      </c>
      <c r="G99" s="2" t="str">
        <f>IF('01_Forms_Raw'!G99="","",'01_Forms_Raw'!G99)</f>
        <v/>
      </c>
      <c r="H99" s="2" t="str">
        <f>IF('01_Forms_Raw'!I99="","",'01_Forms_Raw'!I99)</f>
        <v/>
      </c>
      <c r="I99" s="10" t="str">
        <f>IF('01_Forms_Raw'!J99="","",'01_Forms_Raw'!J99)</f>
        <v/>
      </c>
      <c r="J99" s="2" t="str">
        <f>IF('01_Forms_Raw'!K99="","",VALUE('01_Forms_Raw'!K99))</f>
        <v/>
      </c>
      <c r="K99" s="2" t="str">
        <f>IF('01_Forms_Raw'!L99="","",'01_Forms_Raw'!L99)</f>
        <v/>
      </c>
      <c r="L99" s="2" t="str">
        <f>IF('01_Forms_Raw'!M99="","",'01_Forms_Raw'!M99)</f>
        <v/>
      </c>
      <c r="M99" s="10"/>
      <c r="N99" s="10"/>
      <c r="O99" s="10" t="str">
        <f t="shared" si="18"/>
        <v/>
      </c>
      <c r="P99" s="10" t="str">
        <f t="shared" si="19"/>
        <v/>
      </c>
      <c r="Q99" s="2" t="str">
        <f t="shared" si="20"/>
        <v/>
      </c>
      <c r="R99" s="2" t="str">
        <f t="shared" si="21"/>
        <v/>
      </c>
      <c r="S99" s="10" t="str">
        <f t="shared" si="22"/>
        <v/>
      </c>
      <c r="T99" s="10" t="str">
        <f t="shared" si="23"/>
        <v/>
      </c>
    </row>
    <row r="100" spans="1:20">
      <c r="A100" s="2" t="str">
        <f>IF('01_Forms_Raw'!A100="","",'01_Forms_Raw'!A100)</f>
        <v/>
      </c>
      <c r="B100" s="9" t="str">
        <f>IF('01_Forms_Raw'!B100="","",'01_Forms_Raw'!B100)</f>
        <v/>
      </c>
      <c r="C100" s="9" t="str">
        <f>IF('01_Forms_Raw'!H100="","",'01_Forms_Raw'!H100)</f>
        <v/>
      </c>
      <c r="D100" s="2" t="str">
        <f>IF('01_Forms_Raw'!D100="","",'01_Forms_Raw'!D100)</f>
        <v/>
      </c>
      <c r="E100" s="2" t="str">
        <f>IF('01_Forms_Raw'!E100="","",'01_Forms_Raw'!E100)</f>
        <v/>
      </c>
      <c r="F100" s="2" t="str">
        <f>IF('01_Forms_Raw'!F100="","",'01_Forms_Raw'!F100)</f>
        <v/>
      </c>
      <c r="G100" s="2" t="str">
        <f>IF('01_Forms_Raw'!G100="","",'01_Forms_Raw'!G100)</f>
        <v/>
      </c>
      <c r="H100" s="2" t="str">
        <f>IF('01_Forms_Raw'!I100="","",'01_Forms_Raw'!I100)</f>
        <v/>
      </c>
      <c r="I100" s="10" t="str">
        <f>IF('01_Forms_Raw'!J100="","",'01_Forms_Raw'!J100)</f>
        <v/>
      </c>
      <c r="J100" s="2" t="str">
        <f>IF('01_Forms_Raw'!K100="","",VALUE('01_Forms_Raw'!K100))</f>
        <v/>
      </c>
      <c r="K100" s="2" t="str">
        <f>IF('01_Forms_Raw'!L100="","",'01_Forms_Raw'!L100)</f>
        <v/>
      </c>
      <c r="L100" s="2" t="str">
        <f>IF('01_Forms_Raw'!M100="","",'01_Forms_Raw'!M100)</f>
        <v/>
      </c>
      <c r="M100" s="10"/>
      <c r="N100" s="10"/>
      <c r="O100" s="10" t="str">
        <f t="shared" si="18"/>
        <v/>
      </c>
      <c r="P100" s="10" t="str">
        <f t="shared" si="19"/>
        <v/>
      </c>
      <c r="Q100" s="2" t="str">
        <f t="shared" si="20"/>
        <v/>
      </c>
      <c r="R100" s="2" t="str">
        <f t="shared" si="21"/>
        <v/>
      </c>
      <c r="S100" s="10" t="str">
        <f t="shared" si="22"/>
        <v/>
      </c>
      <c r="T100" s="10" t="str">
        <f t="shared" si="23"/>
        <v/>
      </c>
    </row>
    <row r="101" spans="1:20">
      <c r="A101" s="2" t="str">
        <f>IF('01_Forms_Raw'!A101="","",'01_Forms_Raw'!A101)</f>
        <v/>
      </c>
      <c r="B101" s="9" t="str">
        <f>IF('01_Forms_Raw'!B101="","",'01_Forms_Raw'!B101)</f>
        <v/>
      </c>
      <c r="C101" s="9" t="str">
        <f>IF('01_Forms_Raw'!H101="","",'01_Forms_Raw'!H101)</f>
        <v/>
      </c>
      <c r="D101" s="2" t="str">
        <f>IF('01_Forms_Raw'!D101="","",'01_Forms_Raw'!D101)</f>
        <v/>
      </c>
      <c r="E101" s="2" t="str">
        <f>IF('01_Forms_Raw'!E101="","",'01_Forms_Raw'!E101)</f>
        <v/>
      </c>
      <c r="F101" s="2" t="str">
        <f>IF('01_Forms_Raw'!F101="","",'01_Forms_Raw'!F101)</f>
        <v/>
      </c>
      <c r="G101" s="2" t="str">
        <f>IF('01_Forms_Raw'!G101="","",'01_Forms_Raw'!G101)</f>
        <v/>
      </c>
      <c r="H101" s="2" t="str">
        <f>IF('01_Forms_Raw'!I101="","",'01_Forms_Raw'!I101)</f>
        <v/>
      </c>
      <c r="I101" s="10" t="str">
        <f>IF('01_Forms_Raw'!J101="","",'01_Forms_Raw'!J101)</f>
        <v/>
      </c>
      <c r="J101" s="2" t="str">
        <f>IF('01_Forms_Raw'!K101="","",VALUE('01_Forms_Raw'!K101))</f>
        <v/>
      </c>
      <c r="K101" s="2" t="str">
        <f>IF('01_Forms_Raw'!L101="","",'01_Forms_Raw'!L101)</f>
        <v/>
      </c>
      <c r="L101" s="2" t="str">
        <f>IF('01_Forms_Raw'!M101="","",'01_Forms_Raw'!M101)</f>
        <v/>
      </c>
      <c r="M101" s="10"/>
      <c r="N101" s="10"/>
      <c r="O101" s="10" t="str">
        <f t="shared" si="18"/>
        <v/>
      </c>
      <c r="P101" s="10" t="str">
        <f t="shared" si="19"/>
        <v/>
      </c>
      <c r="Q101" s="2" t="str">
        <f t="shared" si="20"/>
        <v/>
      </c>
      <c r="R101" s="2" t="str">
        <f t="shared" si="21"/>
        <v/>
      </c>
      <c r="S101" s="10" t="str">
        <f t="shared" si="22"/>
        <v/>
      </c>
      <c r="T101" s="10" t="str">
        <f t="shared" si="23"/>
        <v/>
      </c>
    </row>
    <row r="102" spans="1:20">
      <c r="A102" s="2" t="str">
        <f>IF('01_Forms_Raw'!A102="","",'01_Forms_Raw'!A102)</f>
        <v/>
      </c>
      <c r="B102" s="9" t="str">
        <f>IF('01_Forms_Raw'!B102="","",'01_Forms_Raw'!B102)</f>
        <v/>
      </c>
      <c r="C102" s="9" t="str">
        <f>IF('01_Forms_Raw'!H102="","",'01_Forms_Raw'!H102)</f>
        <v/>
      </c>
      <c r="D102" s="2" t="str">
        <f>IF('01_Forms_Raw'!D102="","",'01_Forms_Raw'!D102)</f>
        <v/>
      </c>
      <c r="E102" s="2" t="str">
        <f>IF('01_Forms_Raw'!E102="","",'01_Forms_Raw'!E102)</f>
        <v/>
      </c>
      <c r="F102" s="2" t="str">
        <f>IF('01_Forms_Raw'!F102="","",'01_Forms_Raw'!F102)</f>
        <v/>
      </c>
      <c r="G102" s="2" t="str">
        <f>IF('01_Forms_Raw'!G102="","",'01_Forms_Raw'!G102)</f>
        <v/>
      </c>
      <c r="H102" s="2" t="str">
        <f>IF('01_Forms_Raw'!I102="","",'01_Forms_Raw'!I102)</f>
        <v/>
      </c>
      <c r="I102" s="10" t="str">
        <f>IF('01_Forms_Raw'!J102="","",'01_Forms_Raw'!J102)</f>
        <v/>
      </c>
      <c r="J102" s="2" t="str">
        <f>IF('01_Forms_Raw'!K102="","",VALUE('01_Forms_Raw'!K102))</f>
        <v/>
      </c>
      <c r="K102" s="2" t="str">
        <f>IF('01_Forms_Raw'!L102="","",'01_Forms_Raw'!L102)</f>
        <v/>
      </c>
      <c r="L102" s="2" t="str">
        <f>IF('01_Forms_Raw'!M102="","",'01_Forms_Raw'!M102)</f>
        <v/>
      </c>
      <c r="M102" s="10"/>
      <c r="N102" s="10"/>
      <c r="O102" s="10" t="str">
        <f t="shared" si="18"/>
        <v/>
      </c>
      <c r="P102" s="10" t="str">
        <f t="shared" si="19"/>
        <v/>
      </c>
      <c r="Q102" s="2" t="str">
        <f t="shared" si="20"/>
        <v/>
      </c>
      <c r="R102" s="2" t="str">
        <f t="shared" si="21"/>
        <v/>
      </c>
      <c r="S102" s="10" t="str">
        <f t="shared" si="22"/>
        <v/>
      </c>
      <c r="T102" s="10" t="str">
        <f t="shared" si="23"/>
        <v/>
      </c>
    </row>
    <row r="103" spans="1:20">
      <c r="A103" s="2" t="str">
        <f>IF('01_Forms_Raw'!A103="","",'01_Forms_Raw'!A103)</f>
        <v/>
      </c>
      <c r="B103" s="9" t="str">
        <f>IF('01_Forms_Raw'!B103="","",'01_Forms_Raw'!B103)</f>
        <v/>
      </c>
      <c r="C103" s="9" t="str">
        <f>IF('01_Forms_Raw'!H103="","",'01_Forms_Raw'!H103)</f>
        <v/>
      </c>
      <c r="D103" s="2" t="str">
        <f>IF('01_Forms_Raw'!D103="","",'01_Forms_Raw'!D103)</f>
        <v/>
      </c>
      <c r="E103" s="2" t="str">
        <f>IF('01_Forms_Raw'!E103="","",'01_Forms_Raw'!E103)</f>
        <v/>
      </c>
      <c r="F103" s="2" t="str">
        <f>IF('01_Forms_Raw'!F103="","",'01_Forms_Raw'!F103)</f>
        <v/>
      </c>
      <c r="G103" s="2" t="str">
        <f>IF('01_Forms_Raw'!G103="","",'01_Forms_Raw'!G103)</f>
        <v/>
      </c>
      <c r="H103" s="2" t="str">
        <f>IF('01_Forms_Raw'!I103="","",'01_Forms_Raw'!I103)</f>
        <v/>
      </c>
      <c r="I103" s="10" t="str">
        <f>IF('01_Forms_Raw'!J103="","",'01_Forms_Raw'!J103)</f>
        <v/>
      </c>
      <c r="J103" s="2" t="str">
        <f>IF('01_Forms_Raw'!K103="","",VALUE('01_Forms_Raw'!K103))</f>
        <v/>
      </c>
      <c r="K103" s="2" t="str">
        <f>IF('01_Forms_Raw'!L103="","",'01_Forms_Raw'!L103)</f>
        <v/>
      </c>
      <c r="L103" s="2" t="str">
        <f>IF('01_Forms_Raw'!M103="","",'01_Forms_Raw'!M103)</f>
        <v/>
      </c>
      <c r="M103" s="10"/>
      <c r="N103" s="10"/>
      <c r="O103" s="10" t="str">
        <f t="shared" si="18"/>
        <v/>
      </c>
      <c r="P103" s="10" t="str">
        <f t="shared" si="19"/>
        <v/>
      </c>
      <c r="Q103" s="2" t="str">
        <f t="shared" si="20"/>
        <v/>
      </c>
      <c r="R103" s="2" t="str">
        <f t="shared" si="21"/>
        <v/>
      </c>
      <c r="S103" s="10" t="str">
        <f t="shared" si="22"/>
        <v/>
      </c>
      <c r="T103" s="10" t="str">
        <f t="shared" si="23"/>
        <v/>
      </c>
    </row>
    <row r="104" spans="1:20">
      <c r="A104" s="2" t="str">
        <f>IF('01_Forms_Raw'!A104="","",'01_Forms_Raw'!A104)</f>
        <v/>
      </c>
      <c r="B104" s="9" t="str">
        <f>IF('01_Forms_Raw'!B104="","",'01_Forms_Raw'!B104)</f>
        <v/>
      </c>
      <c r="C104" s="9" t="str">
        <f>IF('01_Forms_Raw'!H104="","",'01_Forms_Raw'!H104)</f>
        <v/>
      </c>
      <c r="D104" s="2" t="str">
        <f>IF('01_Forms_Raw'!D104="","",'01_Forms_Raw'!D104)</f>
        <v/>
      </c>
      <c r="E104" s="2" t="str">
        <f>IF('01_Forms_Raw'!E104="","",'01_Forms_Raw'!E104)</f>
        <v/>
      </c>
      <c r="F104" s="2" t="str">
        <f>IF('01_Forms_Raw'!F104="","",'01_Forms_Raw'!F104)</f>
        <v/>
      </c>
      <c r="G104" s="2" t="str">
        <f>IF('01_Forms_Raw'!G104="","",'01_Forms_Raw'!G104)</f>
        <v/>
      </c>
      <c r="H104" s="2" t="str">
        <f>IF('01_Forms_Raw'!I104="","",'01_Forms_Raw'!I104)</f>
        <v/>
      </c>
      <c r="I104" s="10" t="str">
        <f>IF('01_Forms_Raw'!J104="","",'01_Forms_Raw'!J104)</f>
        <v/>
      </c>
      <c r="J104" s="2" t="str">
        <f>IF('01_Forms_Raw'!K104="","",VALUE('01_Forms_Raw'!K104))</f>
        <v/>
      </c>
      <c r="K104" s="2" t="str">
        <f>IF('01_Forms_Raw'!L104="","",'01_Forms_Raw'!L104)</f>
        <v/>
      </c>
      <c r="L104" s="2" t="str">
        <f>IF('01_Forms_Raw'!M104="","",'01_Forms_Raw'!M104)</f>
        <v/>
      </c>
      <c r="M104" s="10"/>
      <c r="N104" s="10"/>
      <c r="O104" s="10" t="str">
        <f t="shared" si="18"/>
        <v/>
      </c>
      <c r="P104" s="10" t="str">
        <f t="shared" si="19"/>
        <v/>
      </c>
      <c r="Q104" s="2" t="str">
        <f t="shared" si="20"/>
        <v/>
      </c>
      <c r="R104" s="2" t="str">
        <f t="shared" si="21"/>
        <v/>
      </c>
      <c r="S104" s="10" t="str">
        <f t="shared" si="22"/>
        <v/>
      </c>
      <c r="T104" s="10" t="str">
        <f t="shared" si="23"/>
        <v/>
      </c>
    </row>
    <row r="105" spans="1:20">
      <c r="A105" s="2" t="str">
        <f>IF('01_Forms_Raw'!A105="","",'01_Forms_Raw'!A105)</f>
        <v/>
      </c>
      <c r="B105" s="9" t="str">
        <f>IF('01_Forms_Raw'!B105="","",'01_Forms_Raw'!B105)</f>
        <v/>
      </c>
      <c r="C105" s="9" t="str">
        <f>IF('01_Forms_Raw'!H105="","",'01_Forms_Raw'!H105)</f>
        <v/>
      </c>
      <c r="D105" s="2" t="str">
        <f>IF('01_Forms_Raw'!D105="","",'01_Forms_Raw'!D105)</f>
        <v/>
      </c>
      <c r="E105" s="2" t="str">
        <f>IF('01_Forms_Raw'!E105="","",'01_Forms_Raw'!E105)</f>
        <v/>
      </c>
      <c r="F105" s="2" t="str">
        <f>IF('01_Forms_Raw'!F105="","",'01_Forms_Raw'!F105)</f>
        <v/>
      </c>
      <c r="G105" s="2" t="str">
        <f>IF('01_Forms_Raw'!G105="","",'01_Forms_Raw'!G105)</f>
        <v/>
      </c>
      <c r="H105" s="2" t="str">
        <f>IF('01_Forms_Raw'!I105="","",'01_Forms_Raw'!I105)</f>
        <v/>
      </c>
      <c r="I105" s="10" t="str">
        <f>IF('01_Forms_Raw'!J105="","",'01_Forms_Raw'!J105)</f>
        <v/>
      </c>
      <c r="J105" s="2" t="str">
        <f>IF('01_Forms_Raw'!K105="","",VALUE('01_Forms_Raw'!K105))</f>
        <v/>
      </c>
      <c r="K105" s="2" t="str">
        <f>IF('01_Forms_Raw'!L105="","",'01_Forms_Raw'!L105)</f>
        <v/>
      </c>
      <c r="L105" s="2" t="str">
        <f>IF('01_Forms_Raw'!M105="","",'01_Forms_Raw'!M105)</f>
        <v/>
      </c>
      <c r="M105" s="10"/>
      <c r="N105" s="10"/>
      <c r="O105" s="10" t="str">
        <f t="shared" si="18"/>
        <v/>
      </c>
      <c r="P105" s="10" t="str">
        <f t="shared" si="19"/>
        <v/>
      </c>
      <c r="Q105" s="2" t="str">
        <f t="shared" si="20"/>
        <v/>
      </c>
      <c r="R105" s="2" t="str">
        <f t="shared" si="21"/>
        <v/>
      </c>
      <c r="S105" s="10" t="str">
        <f t="shared" si="22"/>
        <v/>
      </c>
      <c r="T105" s="10" t="str">
        <f t="shared" si="23"/>
        <v/>
      </c>
    </row>
    <row r="106" spans="1:20">
      <c r="A106" s="2" t="str">
        <f>IF('01_Forms_Raw'!A106="","",'01_Forms_Raw'!A106)</f>
        <v/>
      </c>
      <c r="B106" s="9" t="str">
        <f>IF('01_Forms_Raw'!B106="","",'01_Forms_Raw'!B106)</f>
        <v/>
      </c>
      <c r="C106" s="9" t="str">
        <f>IF('01_Forms_Raw'!H106="","",'01_Forms_Raw'!H106)</f>
        <v/>
      </c>
      <c r="D106" s="2" t="str">
        <f>IF('01_Forms_Raw'!D106="","",'01_Forms_Raw'!D106)</f>
        <v/>
      </c>
      <c r="E106" s="2" t="str">
        <f>IF('01_Forms_Raw'!E106="","",'01_Forms_Raw'!E106)</f>
        <v/>
      </c>
      <c r="F106" s="2" t="str">
        <f>IF('01_Forms_Raw'!F106="","",'01_Forms_Raw'!F106)</f>
        <v/>
      </c>
      <c r="G106" s="2" t="str">
        <f>IF('01_Forms_Raw'!G106="","",'01_Forms_Raw'!G106)</f>
        <v/>
      </c>
      <c r="H106" s="2" t="str">
        <f>IF('01_Forms_Raw'!I106="","",'01_Forms_Raw'!I106)</f>
        <v/>
      </c>
      <c r="I106" s="10" t="str">
        <f>IF('01_Forms_Raw'!J106="","",'01_Forms_Raw'!J106)</f>
        <v/>
      </c>
      <c r="J106" s="2" t="str">
        <f>IF('01_Forms_Raw'!K106="","",VALUE('01_Forms_Raw'!K106))</f>
        <v/>
      </c>
      <c r="K106" s="2" t="str">
        <f>IF('01_Forms_Raw'!L106="","",'01_Forms_Raw'!L106)</f>
        <v/>
      </c>
      <c r="L106" s="2" t="str">
        <f>IF('01_Forms_Raw'!M106="","",'01_Forms_Raw'!M106)</f>
        <v/>
      </c>
      <c r="M106" s="10"/>
      <c r="N106" s="10"/>
      <c r="O106" s="10" t="str">
        <f t="shared" si="18"/>
        <v/>
      </c>
      <c r="P106" s="10" t="str">
        <f t="shared" si="19"/>
        <v/>
      </c>
      <c r="Q106" s="2" t="str">
        <f t="shared" si="20"/>
        <v/>
      </c>
      <c r="R106" s="2" t="str">
        <f t="shared" si="21"/>
        <v/>
      </c>
      <c r="S106" s="10" t="str">
        <f t="shared" si="22"/>
        <v/>
      </c>
      <c r="T106" s="10" t="str">
        <f t="shared" si="23"/>
        <v/>
      </c>
    </row>
    <row r="107" spans="1:20">
      <c r="A107" s="2" t="str">
        <f>IF('01_Forms_Raw'!A107="","",'01_Forms_Raw'!A107)</f>
        <v/>
      </c>
      <c r="B107" s="9" t="str">
        <f>IF('01_Forms_Raw'!B107="","",'01_Forms_Raw'!B107)</f>
        <v/>
      </c>
      <c r="C107" s="9" t="str">
        <f>IF('01_Forms_Raw'!H107="","",'01_Forms_Raw'!H107)</f>
        <v/>
      </c>
      <c r="D107" s="2" t="str">
        <f>IF('01_Forms_Raw'!D107="","",'01_Forms_Raw'!D107)</f>
        <v/>
      </c>
      <c r="E107" s="2" t="str">
        <f>IF('01_Forms_Raw'!E107="","",'01_Forms_Raw'!E107)</f>
        <v/>
      </c>
      <c r="F107" s="2" t="str">
        <f>IF('01_Forms_Raw'!F107="","",'01_Forms_Raw'!F107)</f>
        <v/>
      </c>
      <c r="G107" s="2" t="str">
        <f>IF('01_Forms_Raw'!G107="","",'01_Forms_Raw'!G107)</f>
        <v/>
      </c>
      <c r="H107" s="2" t="str">
        <f>IF('01_Forms_Raw'!I107="","",'01_Forms_Raw'!I107)</f>
        <v/>
      </c>
      <c r="I107" s="10" t="str">
        <f>IF('01_Forms_Raw'!J107="","",'01_Forms_Raw'!J107)</f>
        <v/>
      </c>
      <c r="J107" s="2" t="str">
        <f>IF('01_Forms_Raw'!K107="","",VALUE('01_Forms_Raw'!K107))</f>
        <v/>
      </c>
      <c r="K107" s="2" t="str">
        <f>IF('01_Forms_Raw'!L107="","",'01_Forms_Raw'!L107)</f>
        <v/>
      </c>
      <c r="L107" s="2" t="str">
        <f>IF('01_Forms_Raw'!M107="","",'01_Forms_Raw'!M107)</f>
        <v/>
      </c>
      <c r="M107" s="10"/>
      <c r="N107" s="10"/>
      <c r="O107" s="10" t="str">
        <f t="shared" si="18"/>
        <v/>
      </c>
      <c r="P107" s="10" t="str">
        <f t="shared" si="19"/>
        <v/>
      </c>
      <c r="Q107" s="2" t="str">
        <f t="shared" si="20"/>
        <v/>
      </c>
      <c r="R107" s="2" t="str">
        <f t="shared" si="21"/>
        <v/>
      </c>
      <c r="S107" s="10" t="str">
        <f t="shared" si="22"/>
        <v/>
      </c>
      <c r="T107" s="10" t="str">
        <f t="shared" si="23"/>
        <v/>
      </c>
    </row>
    <row r="108" spans="1:20">
      <c r="A108" s="2" t="str">
        <f>IF('01_Forms_Raw'!A108="","",'01_Forms_Raw'!A108)</f>
        <v/>
      </c>
      <c r="B108" s="9" t="str">
        <f>IF('01_Forms_Raw'!B108="","",'01_Forms_Raw'!B108)</f>
        <v/>
      </c>
      <c r="C108" s="9" t="str">
        <f>IF('01_Forms_Raw'!H108="","",'01_Forms_Raw'!H108)</f>
        <v/>
      </c>
      <c r="D108" s="2" t="str">
        <f>IF('01_Forms_Raw'!D108="","",'01_Forms_Raw'!D108)</f>
        <v/>
      </c>
      <c r="E108" s="2" t="str">
        <f>IF('01_Forms_Raw'!E108="","",'01_Forms_Raw'!E108)</f>
        <v/>
      </c>
      <c r="F108" s="2" t="str">
        <f>IF('01_Forms_Raw'!F108="","",'01_Forms_Raw'!F108)</f>
        <v/>
      </c>
      <c r="G108" s="2" t="str">
        <f>IF('01_Forms_Raw'!G108="","",'01_Forms_Raw'!G108)</f>
        <v/>
      </c>
      <c r="H108" s="2" t="str">
        <f>IF('01_Forms_Raw'!I108="","",'01_Forms_Raw'!I108)</f>
        <v/>
      </c>
      <c r="I108" s="10" t="str">
        <f>IF('01_Forms_Raw'!J108="","",'01_Forms_Raw'!J108)</f>
        <v/>
      </c>
      <c r="J108" s="2" t="str">
        <f>IF('01_Forms_Raw'!K108="","",VALUE('01_Forms_Raw'!K108))</f>
        <v/>
      </c>
      <c r="K108" s="2" t="str">
        <f>IF('01_Forms_Raw'!L108="","",'01_Forms_Raw'!L108)</f>
        <v/>
      </c>
      <c r="L108" s="2" t="str">
        <f>IF('01_Forms_Raw'!M108="","",'01_Forms_Raw'!M108)</f>
        <v/>
      </c>
      <c r="M108" s="10"/>
      <c r="N108" s="10"/>
      <c r="O108" s="10" t="str">
        <f t="shared" si="18"/>
        <v/>
      </c>
      <c r="P108" s="10" t="str">
        <f t="shared" si="19"/>
        <v/>
      </c>
      <c r="Q108" s="2" t="str">
        <f t="shared" si="20"/>
        <v/>
      </c>
      <c r="R108" s="2" t="str">
        <f t="shared" si="21"/>
        <v/>
      </c>
      <c r="S108" s="10" t="str">
        <f t="shared" si="22"/>
        <v/>
      </c>
      <c r="T108" s="10" t="str">
        <f t="shared" si="23"/>
        <v/>
      </c>
    </row>
    <row r="109" spans="1:20">
      <c r="A109" s="2" t="str">
        <f>IF('01_Forms_Raw'!A109="","",'01_Forms_Raw'!A109)</f>
        <v/>
      </c>
      <c r="B109" s="9" t="str">
        <f>IF('01_Forms_Raw'!B109="","",'01_Forms_Raw'!B109)</f>
        <v/>
      </c>
      <c r="C109" s="9" t="str">
        <f>IF('01_Forms_Raw'!H109="","",'01_Forms_Raw'!H109)</f>
        <v/>
      </c>
      <c r="D109" s="2" t="str">
        <f>IF('01_Forms_Raw'!D109="","",'01_Forms_Raw'!D109)</f>
        <v/>
      </c>
      <c r="E109" s="2" t="str">
        <f>IF('01_Forms_Raw'!E109="","",'01_Forms_Raw'!E109)</f>
        <v/>
      </c>
      <c r="F109" s="2" t="str">
        <f>IF('01_Forms_Raw'!F109="","",'01_Forms_Raw'!F109)</f>
        <v/>
      </c>
      <c r="G109" s="2" t="str">
        <f>IF('01_Forms_Raw'!G109="","",'01_Forms_Raw'!G109)</f>
        <v/>
      </c>
      <c r="H109" s="2" t="str">
        <f>IF('01_Forms_Raw'!I109="","",'01_Forms_Raw'!I109)</f>
        <v/>
      </c>
      <c r="I109" s="10" t="str">
        <f>IF('01_Forms_Raw'!J109="","",'01_Forms_Raw'!J109)</f>
        <v/>
      </c>
      <c r="J109" s="2" t="str">
        <f>IF('01_Forms_Raw'!K109="","",VALUE('01_Forms_Raw'!K109))</f>
        <v/>
      </c>
      <c r="K109" s="2" t="str">
        <f>IF('01_Forms_Raw'!L109="","",'01_Forms_Raw'!L109)</f>
        <v/>
      </c>
      <c r="L109" s="2" t="str">
        <f>IF('01_Forms_Raw'!M109="","",'01_Forms_Raw'!M109)</f>
        <v/>
      </c>
      <c r="M109" s="10"/>
      <c r="N109" s="10"/>
      <c r="O109" s="10" t="str">
        <f t="shared" si="18"/>
        <v/>
      </c>
      <c r="P109" s="10" t="str">
        <f t="shared" si="19"/>
        <v/>
      </c>
      <c r="Q109" s="2" t="str">
        <f t="shared" si="20"/>
        <v/>
      </c>
      <c r="R109" s="2" t="str">
        <f t="shared" si="21"/>
        <v/>
      </c>
      <c r="S109" s="10" t="str">
        <f t="shared" si="22"/>
        <v/>
      </c>
      <c r="T109" s="10" t="str">
        <f t="shared" si="23"/>
        <v/>
      </c>
    </row>
    <row r="110" spans="1:20">
      <c r="A110" s="2" t="str">
        <f>IF('01_Forms_Raw'!A110="","",'01_Forms_Raw'!A110)</f>
        <v/>
      </c>
      <c r="B110" s="9" t="str">
        <f>IF('01_Forms_Raw'!B110="","",'01_Forms_Raw'!B110)</f>
        <v/>
      </c>
      <c r="C110" s="9" t="str">
        <f>IF('01_Forms_Raw'!H110="","",'01_Forms_Raw'!H110)</f>
        <v/>
      </c>
      <c r="D110" s="2" t="str">
        <f>IF('01_Forms_Raw'!D110="","",'01_Forms_Raw'!D110)</f>
        <v/>
      </c>
      <c r="E110" s="2" t="str">
        <f>IF('01_Forms_Raw'!E110="","",'01_Forms_Raw'!E110)</f>
        <v/>
      </c>
      <c r="F110" s="2" t="str">
        <f>IF('01_Forms_Raw'!F110="","",'01_Forms_Raw'!F110)</f>
        <v/>
      </c>
      <c r="G110" s="2" t="str">
        <f>IF('01_Forms_Raw'!G110="","",'01_Forms_Raw'!G110)</f>
        <v/>
      </c>
      <c r="H110" s="2" t="str">
        <f>IF('01_Forms_Raw'!I110="","",'01_Forms_Raw'!I110)</f>
        <v/>
      </c>
      <c r="I110" s="10" t="str">
        <f>IF('01_Forms_Raw'!J110="","",'01_Forms_Raw'!J110)</f>
        <v/>
      </c>
      <c r="J110" s="2" t="str">
        <f>IF('01_Forms_Raw'!K110="","",VALUE('01_Forms_Raw'!K110))</f>
        <v/>
      </c>
      <c r="K110" s="2" t="str">
        <f>IF('01_Forms_Raw'!L110="","",'01_Forms_Raw'!L110)</f>
        <v/>
      </c>
      <c r="L110" s="2" t="str">
        <f>IF('01_Forms_Raw'!M110="","",'01_Forms_Raw'!M110)</f>
        <v/>
      </c>
      <c r="M110" s="10"/>
      <c r="N110" s="10"/>
      <c r="O110" s="10" t="str">
        <f t="shared" si="18"/>
        <v/>
      </c>
      <c r="P110" s="10" t="str">
        <f t="shared" si="19"/>
        <v/>
      </c>
      <c r="Q110" s="2" t="str">
        <f t="shared" si="20"/>
        <v/>
      </c>
      <c r="R110" s="2" t="str">
        <f t="shared" si="21"/>
        <v/>
      </c>
      <c r="S110" s="10" t="str">
        <f t="shared" si="22"/>
        <v/>
      </c>
      <c r="T110" s="10" t="str">
        <f t="shared" si="23"/>
        <v/>
      </c>
    </row>
    <row r="111" spans="1:20">
      <c r="A111" s="2" t="str">
        <f>IF('01_Forms_Raw'!A111="","",'01_Forms_Raw'!A111)</f>
        <v/>
      </c>
      <c r="B111" s="9" t="str">
        <f>IF('01_Forms_Raw'!B111="","",'01_Forms_Raw'!B111)</f>
        <v/>
      </c>
      <c r="C111" s="9" t="str">
        <f>IF('01_Forms_Raw'!H111="","",'01_Forms_Raw'!H111)</f>
        <v/>
      </c>
      <c r="D111" s="2" t="str">
        <f>IF('01_Forms_Raw'!D111="","",'01_Forms_Raw'!D111)</f>
        <v/>
      </c>
      <c r="E111" s="2" t="str">
        <f>IF('01_Forms_Raw'!E111="","",'01_Forms_Raw'!E111)</f>
        <v/>
      </c>
      <c r="F111" s="2" t="str">
        <f>IF('01_Forms_Raw'!F111="","",'01_Forms_Raw'!F111)</f>
        <v/>
      </c>
      <c r="G111" s="2" t="str">
        <f>IF('01_Forms_Raw'!G111="","",'01_Forms_Raw'!G111)</f>
        <v/>
      </c>
      <c r="H111" s="2" t="str">
        <f>IF('01_Forms_Raw'!I111="","",'01_Forms_Raw'!I111)</f>
        <v/>
      </c>
      <c r="I111" s="10" t="str">
        <f>IF('01_Forms_Raw'!J111="","",'01_Forms_Raw'!J111)</f>
        <v/>
      </c>
      <c r="J111" s="2" t="str">
        <f>IF('01_Forms_Raw'!K111="","",VALUE('01_Forms_Raw'!K111))</f>
        <v/>
      </c>
      <c r="K111" s="2" t="str">
        <f>IF('01_Forms_Raw'!L111="","",'01_Forms_Raw'!L111)</f>
        <v/>
      </c>
      <c r="L111" s="2" t="str">
        <f>IF('01_Forms_Raw'!M111="","",'01_Forms_Raw'!M111)</f>
        <v/>
      </c>
      <c r="M111" s="10"/>
      <c r="N111" s="10"/>
      <c r="O111" s="10" t="str">
        <f t="shared" si="18"/>
        <v/>
      </c>
      <c r="P111" s="10" t="str">
        <f t="shared" si="19"/>
        <v/>
      </c>
      <c r="Q111" s="2" t="str">
        <f t="shared" si="20"/>
        <v/>
      </c>
      <c r="R111" s="2" t="str">
        <f t="shared" si="21"/>
        <v/>
      </c>
      <c r="S111" s="10" t="str">
        <f t="shared" si="22"/>
        <v/>
      </c>
      <c r="T111" s="10" t="str">
        <f t="shared" si="23"/>
        <v/>
      </c>
    </row>
    <row r="112" spans="1:20">
      <c r="A112" s="2" t="str">
        <f>IF('01_Forms_Raw'!A112="","",'01_Forms_Raw'!A112)</f>
        <v/>
      </c>
      <c r="B112" s="9" t="str">
        <f>IF('01_Forms_Raw'!B112="","",'01_Forms_Raw'!B112)</f>
        <v/>
      </c>
      <c r="C112" s="9" t="str">
        <f>IF('01_Forms_Raw'!H112="","",'01_Forms_Raw'!H112)</f>
        <v/>
      </c>
      <c r="D112" s="2" t="str">
        <f>IF('01_Forms_Raw'!D112="","",'01_Forms_Raw'!D112)</f>
        <v/>
      </c>
      <c r="E112" s="2" t="str">
        <f>IF('01_Forms_Raw'!E112="","",'01_Forms_Raw'!E112)</f>
        <v/>
      </c>
      <c r="F112" s="2" t="str">
        <f>IF('01_Forms_Raw'!F112="","",'01_Forms_Raw'!F112)</f>
        <v/>
      </c>
      <c r="G112" s="2" t="str">
        <f>IF('01_Forms_Raw'!G112="","",'01_Forms_Raw'!G112)</f>
        <v/>
      </c>
      <c r="H112" s="2" t="str">
        <f>IF('01_Forms_Raw'!I112="","",'01_Forms_Raw'!I112)</f>
        <v/>
      </c>
      <c r="I112" s="10" t="str">
        <f>IF('01_Forms_Raw'!J112="","",'01_Forms_Raw'!J112)</f>
        <v/>
      </c>
      <c r="J112" s="2" t="str">
        <f>IF('01_Forms_Raw'!K112="","",VALUE('01_Forms_Raw'!K112))</f>
        <v/>
      </c>
      <c r="K112" s="2" t="str">
        <f>IF('01_Forms_Raw'!L112="","",'01_Forms_Raw'!L112)</f>
        <v/>
      </c>
      <c r="L112" s="2" t="str">
        <f>IF('01_Forms_Raw'!M112="","",'01_Forms_Raw'!M112)</f>
        <v/>
      </c>
      <c r="M112" s="10"/>
      <c r="N112" s="10"/>
      <c r="O112" s="10" t="str">
        <f t="shared" si="18"/>
        <v/>
      </c>
      <c r="P112" s="10" t="str">
        <f t="shared" si="19"/>
        <v/>
      </c>
      <c r="Q112" s="2" t="str">
        <f t="shared" si="20"/>
        <v/>
      </c>
      <c r="R112" s="2" t="str">
        <f t="shared" si="21"/>
        <v/>
      </c>
      <c r="S112" s="10" t="str">
        <f t="shared" si="22"/>
        <v/>
      </c>
      <c r="T112" s="10" t="str">
        <f t="shared" si="23"/>
        <v/>
      </c>
    </row>
    <row r="113" spans="1:20">
      <c r="A113" s="2" t="str">
        <f>IF('01_Forms_Raw'!A113="","",'01_Forms_Raw'!A113)</f>
        <v/>
      </c>
      <c r="B113" s="9" t="str">
        <f>IF('01_Forms_Raw'!B113="","",'01_Forms_Raw'!B113)</f>
        <v/>
      </c>
      <c r="C113" s="9" t="str">
        <f>IF('01_Forms_Raw'!H113="","",'01_Forms_Raw'!H113)</f>
        <v/>
      </c>
      <c r="D113" s="2" t="str">
        <f>IF('01_Forms_Raw'!D113="","",'01_Forms_Raw'!D113)</f>
        <v/>
      </c>
      <c r="E113" s="2" t="str">
        <f>IF('01_Forms_Raw'!E113="","",'01_Forms_Raw'!E113)</f>
        <v/>
      </c>
      <c r="F113" s="2" t="str">
        <f>IF('01_Forms_Raw'!F113="","",'01_Forms_Raw'!F113)</f>
        <v/>
      </c>
      <c r="G113" s="2" t="str">
        <f>IF('01_Forms_Raw'!G113="","",'01_Forms_Raw'!G113)</f>
        <v/>
      </c>
      <c r="H113" s="2" t="str">
        <f>IF('01_Forms_Raw'!I113="","",'01_Forms_Raw'!I113)</f>
        <v/>
      </c>
      <c r="I113" s="10" t="str">
        <f>IF('01_Forms_Raw'!J113="","",'01_Forms_Raw'!J113)</f>
        <v/>
      </c>
      <c r="J113" s="2" t="str">
        <f>IF('01_Forms_Raw'!K113="","",VALUE('01_Forms_Raw'!K113))</f>
        <v/>
      </c>
      <c r="K113" s="2" t="str">
        <f>IF('01_Forms_Raw'!L113="","",'01_Forms_Raw'!L113)</f>
        <v/>
      </c>
      <c r="L113" s="2" t="str">
        <f>IF('01_Forms_Raw'!M113="","",'01_Forms_Raw'!M113)</f>
        <v/>
      </c>
      <c r="M113" s="10"/>
      <c r="N113" s="10"/>
      <c r="O113" s="10" t="str">
        <f t="shared" si="18"/>
        <v/>
      </c>
      <c r="P113" s="10" t="str">
        <f t="shared" si="19"/>
        <v/>
      </c>
      <c r="Q113" s="2" t="str">
        <f t="shared" si="20"/>
        <v/>
      </c>
      <c r="R113" s="2" t="str">
        <f t="shared" si="21"/>
        <v/>
      </c>
      <c r="S113" s="10" t="str">
        <f t="shared" si="22"/>
        <v/>
      </c>
      <c r="T113" s="10" t="str">
        <f t="shared" si="23"/>
        <v/>
      </c>
    </row>
    <row r="114" spans="1:20">
      <c r="A114" s="2" t="str">
        <f>IF('01_Forms_Raw'!A114="","",'01_Forms_Raw'!A114)</f>
        <v/>
      </c>
      <c r="B114" s="9" t="str">
        <f>IF('01_Forms_Raw'!B114="","",'01_Forms_Raw'!B114)</f>
        <v/>
      </c>
      <c r="C114" s="9" t="str">
        <f>IF('01_Forms_Raw'!H114="","",'01_Forms_Raw'!H114)</f>
        <v/>
      </c>
      <c r="D114" s="2" t="str">
        <f>IF('01_Forms_Raw'!D114="","",'01_Forms_Raw'!D114)</f>
        <v/>
      </c>
      <c r="E114" s="2" t="str">
        <f>IF('01_Forms_Raw'!E114="","",'01_Forms_Raw'!E114)</f>
        <v/>
      </c>
      <c r="F114" s="2" t="str">
        <f>IF('01_Forms_Raw'!F114="","",'01_Forms_Raw'!F114)</f>
        <v/>
      </c>
      <c r="G114" s="2" t="str">
        <f>IF('01_Forms_Raw'!G114="","",'01_Forms_Raw'!G114)</f>
        <v/>
      </c>
      <c r="H114" s="2" t="str">
        <f>IF('01_Forms_Raw'!I114="","",'01_Forms_Raw'!I114)</f>
        <v/>
      </c>
      <c r="I114" s="10" t="str">
        <f>IF('01_Forms_Raw'!J114="","",'01_Forms_Raw'!J114)</f>
        <v/>
      </c>
      <c r="J114" s="2" t="str">
        <f>IF('01_Forms_Raw'!K114="","",VALUE('01_Forms_Raw'!K114))</f>
        <v/>
      </c>
      <c r="K114" s="2" t="str">
        <f>IF('01_Forms_Raw'!L114="","",'01_Forms_Raw'!L114)</f>
        <v/>
      </c>
      <c r="L114" s="2" t="str">
        <f>IF('01_Forms_Raw'!M114="","",'01_Forms_Raw'!M114)</f>
        <v/>
      </c>
      <c r="M114" s="10"/>
      <c r="N114" s="10"/>
      <c r="O114" s="10" t="str">
        <f t="shared" si="18"/>
        <v/>
      </c>
      <c r="P114" s="10" t="str">
        <f t="shared" si="19"/>
        <v/>
      </c>
      <c r="Q114" s="2" t="str">
        <f t="shared" si="20"/>
        <v/>
      </c>
      <c r="R114" s="2" t="str">
        <f t="shared" si="21"/>
        <v/>
      </c>
      <c r="S114" s="10" t="str">
        <f t="shared" si="22"/>
        <v/>
      </c>
      <c r="T114" s="10" t="str">
        <f t="shared" si="23"/>
        <v/>
      </c>
    </row>
    <row r="115" spans="1:20">
      <c r="A115" s="2" t="str">
        <f>IF('01_Forms_Raw'!A115="","",'01_Forms_Raw'!A115)</f>
        <v/>
      </c>
      <c r="B115" s="9" t="str">
        <f>IF('01_Forms_Raw'!B115="","",'01_Forms_Raw'!B115)</f>
        <v/>
      </c>
      <c r="C115" s="9" t="str">
        <f>IF('01_Forms_Raw'!H115="","",'01_Forms_Raw'!H115)</f>
        <v/>
      </c>
      <c r="D115" s="2" t="str">
        <f>IF('01_Forms_Raw'!D115="","",'01_Forms_Raw'!D115)</f>
        <v/>
      </c>
      <c r="E115" s="2" t="str">
        <f>IF('01_Forms_Raw'!E115="","",'01_Forms_Raw'!E115)</f>
        <v/>
      </c>
      <c r="F115" s="2" t="str">
        <f>IF('01_Forms_Raw'!F115="","",'01_Forms_Raw'!F115)</f>
        <v/>
      </c>
      <c r="G115" s="2" t="str">
        <f>IF('01_Forms_Raw'!G115="","",'01_Forms_Raw'!G115)</f>
        <v/>
      </c>
      <c r="H115" s="2" t="str">
        <f>IF('01_Forms_Raw'!I115="","",'01_Forms_Raw'!I115)</f>
        <v/>
      </c>
      <c r="I115" s="10" t="str">
        <f>IF('01_Forms_Raw'!J115="","",'01_Forms_Raw'!J115)</f>
        <v/>
      </c>
      <c r="J115" s="2" t="str">
        <f>IF('01_Forms_Raw'!K115="","",VALUE('01_Forms_Raw'!K115))</f>
        <v/>
      </c>
      <c r="K115" s="2" t="str">
        <f>IF('01_Forms_Raw'!L115="","",'01_Forms_Raw'!L115)</f>
        <v/>
      </c>
      <c r="L115" s="2" t="str">
        <f>IF('01_Forms_Raw'!M115="","",'01_Forms_Raw'!M115)</f>
        <v/>
      </c>
      <c r="M115" s="10"/>
      <c r="N115" s="10"/>
      <c r="O115" s="10" t="str">
        <f t="shared" si="18"/>
        <v/>
      </c>
      <c r="P115" s="10" t="str">
        <f t="shared" si="19"/>
        <v/>
      </c>
      <c r="Q115" s="2" t="str">
        <f t="shared" si="20"/>
        <v/>
      </c>
      <c r="R115" s="2" t="str">
        <f t="shared" si="21"/>
        <v/>
      </c>
      <c r="S115" s="10" t="str">
        <f t="shared" si="22"/>
        <v/>
      </c>
      <c r="T115" s="10" t="str">
        <f t="shared" si="23"/>
        <v/>
      </c>
    </row>
    <row r="116" spans="1:20">
      <c r="A116" s="2" t="str">
        <f>IF('01_Forms_Raw'!A116="","",'01_Forms_Raw'!A116)</f>
        <v/>
      </c>
      <c r="B116" s="9" t="str">
        <f>IF('01_Forms_Raw'!B116="","",'01_Forms_Raw'!B116)</f>
        <v/>
      </c>
      <c r="C116" s="9" t="str">
        <f>IF('01_Forms_Raw'!H116="","",'01_Forms_Raw'!H116)</f>
        <v/>
      </c>
      <c r="D116" s="2" t="str">
        <f>IF('01_Forms_Raw'!D116="","",'01_Forms_Raw'!D116)</f>
        <v/>
      </c>
      <c r="E116" s="2" t="str">
        <f>IF('01_Forms_Raw'!E116="","",'01_Forms_Raw'!E116)</f>
        <v/>
      </c>
      <c r="F116" s="2" t="str">
        <f>IF('01_Forms_Raw'!F116="","",'01_Forms_Raw'!F116)</f>
        <v/>
      </c>
      <c r="G116" s="2" t="str">
        <f>IF('01_Forms_Raw'!G116="","",'01_Forms_Raw'!G116)</f>
        <v/>
      </c>
      <c r="H116" s="2" t="str">
        <f>IF('01_Forms_Raw'!I116="","",'01_Forms_Raw'!I116)</f>
        <v/>
      </c>
      <c r="I116" s="10" t="str">
        <f>IF('01_Forms_Raw'!J116="","",'01_Forms_Raw'!J116)</f>
        <v/>
      </c>
      <c r="J116" s="2" t="str">
        <f>IF('01_Forms_Raw'!K116="","",VALUE('01_Forms_Raw'!K116))</f>
        <v/>
      </c>
      <c r="K116" s="2" t="str">
        <f>IF('01_Forms_Raw'!L116="","",'01_Forms_Raw'!L116)</f>
        <v/>
      </c>
      <c r="L116" s="2" t="str">
        <f>IF('01_Forms_Raw'!M116="","",'01_Forms_Raw'!M116)</f>
        <v/>
      </c>
      <c r="M116" s="10"/>
      <c r="N116" s="10"/>
      <c r="O116" s="10" t="str">
        <f t="shared" si="18"/>
        <v/>
      </c>
      <c r="P116" s="10" t="str">
        <f t="shared" si="19"/>
        <v/>
      </c>
      <c r="Q116" s="2" t="str">
        <f t="shared" si="20"/>
        <v/>
      </c>
      <c r="R116" s="2" t="str">
        <f t="shared" si="21"/>
        <v/>
      </c>
      <c r="S116" s="10" t="str">
        <f t="shared" si="22"/>
        <v/>
      </c>
      <c r="T116" s="10" t="str">
        <f t="shared" si="23"/>
        <v/>
      </c>
    </row>
    <row r="117" spans="1:20">
      <c r="A117" s="2" t="str">
        <f>IF('01_Forms_Raw'!A117="","",'01_Forms_Raw'!A117)</f>
        <v/>
      </c>
      <c r="B117" s="9" t="str">
        <f>IF('01_Forms_Raw'!B117="","",'01_Forms_Raw'!B117)</f>
        <v/>
      </c>
      <c r="C117" s="9" t="str">
        <f>IF('01_Forms_Raw'!H117="","",'01_Forms_Raw'!H117)</f>
        <v/>
      </c>
      <c r="D117" s="2" t="str">
        <f>IF('01_Forms_Raw'!D117="","",'01_Forms_Raw'!D117)</f>
        <v/>
      </c>
      <c r="E117" s="2" t="str">
        <f>IF('01_Forms_Raw'!E117="","",'01_Forms_Raw'!E117)</f>
        <v/>
      </c>
      <c r="F117" s="2" t="str">
        <f>IF('01_Forms_Raw'!F117="","",'01_Forms_Raw'!F117)</f>
        <v/>
      </c>
      <c r="G117" s="2" t="str">
        <f>IF('01_Forms_Raw'!G117="","",'01_Forms_Raw'!G117)</f>
        <v/>
      </c>
      <c r="H117" s="2" t="str">
        <f>IF('01_Forms_Raw'!I117="","",'01_Forms_Raw'!I117)</f>
        <v/>
      </c>
      <c r="I117" s="10" t="str">
        <f>IF('01_Forms_Raw'!J117="","",'01_Forms_Raw'!J117)</f>
        <v/>
      </c>
      <c r="J117" s="2" t="str">
        <f>IF('01_Forms_Raw'!K117="","",VALUE('01_Forms_Raw'!K117))</f>
        <v/>
      </c>
      <c r="K117" s="2" t="str">
        <f>IF('01_Forms_Raw'!L117="","",'01_Forms_Raw'!L117)</f>
        <v/>
      </c>
      <c r="L117" s="2" t="str">
        <f>IF('01_Forms_Raw'!M117="","",'01_Forms_Raw'!M117)</f>
        <v/>
      </c>
      <c r="M117" s="10"/>
      <c r="N117" s="10"/>
      <c r="O117" s="10" t="str">
        <f t="shared" si="18"/>
        <v/>
      </c>
      <c r="P117" s="10" t="str">
        <f t="shared" si="19"/>
        <v/>
      </c>
      <c r="Q117" s="2" t="str">
        <f t="shared" si="20"/>
        <v/>
      </c>
      <c r="R117" s="2" t="str">
        <f t="shared" si="21"/>
        <v/>
      </c>
      <c r="S117" s="10" t="str">
        <f t="shared" si="22"/>
        <v/>
      </c>
      <c r="T117" s="10" t="str">
        <f t="shared" si="23"/>
        <v/>
      </c>
    </row>
    <row r="118" spans="1:20">
      <c r="A118" s="2" t="str">
        <f>IF('01_Forms_Raw'!A118="","",'01_Forms_Raw'!A118)</f>
        <v/>
      </c>
      <c r="B118" s="9" t="str">
        <f>IF('01_Forms_Raw'!B118="","",'01_Forms_Raw'!B118)</f>
        <v/>
      </c>
      <c r="C118" s="9" t="str">
        <f>IF('01_Forms_Raw'!H118="","",'01_Forms_Raw'!H118)</f>
        <v/>
      </c>
      <c r="D118" s="2" t="str">
        <f>IF('01_Forms_Raw'!D118="","",'01_Forms_Raw'!D118)</f>
        <v/>
      </c>
      <c r="E118" s="2" t="str">
        <f>IF('01_Forms_Raw'!E118="","",'01_Forms_Raw'!E118)</f>
        <v/>
      </c>
      <c r="F118" s="2" t="str">
        <f>IF('01_Forms_Raw'!F118="","",'01_Forms_Raw'!F118)</f>
        <v/>
      </c>
      <c r="G118" s="2" t="str">
        <f>IF('01_Forms_Raw'!G118="","",'01_Forms_Raw'!G118)</f>
        <v/>
      </c>
      <c r="H118" s="2" t="str">
        <f>IF('01_Forms_Raw'!I118="","",'01_Forms_Raw'!I118)</f>
        <v/>
      </c>
      <c r="I118" s="10" t="str">
        <f>IF('01_Forms_Raw'!J118="","",'01_Forms_Raw'!J118)</f>
        <v/>
      </c>
      <c r="J118" s="2" t="str">
        <f>IF('01_Forms_Raw'!K118="","",VALUE('01_Forms_Raw'!K118))</f>
        <v/>
      </c>
      <c r="K118" s="2" t="str">
        <f>IF('01_Forms_Raw'!L118="","",'01_Forms_Raw'!L118)</f>
        <v/>
      </c>
      <c r="L118" s="2" t="str">
        <f>IF('01_Forms_Raw'!M118="","",'01_Forms_Raw'!M118)</f>
        <v/>
      </c>
      <c r="M118" s="10"/>
      <c r="N118" s="10"/>
      <c r="O118" s="10" t="str">
        <f t="shared" si="18"/>
        <v/>
      </c>
      <c r="P118" s="10" t="str">
        <f t="shared" si="19"/>
        <v/>
      </c>
      <c r="Q118" s="2" t="str">
        <f t="shared" si="20"/>
        <v/>
      </c>
      <c r="R118" s="2" t="str">
        <f t="shared" si="21"/>
        <v/>
      </c>
      <c r="S118" s="10" t="str">
        <f t="shared" si="22"/>
        <v/>
      </c>
      <c r="T118" s="10" t="str">
        <f t="shared" si="23"/>
        <v/>
      </c>
    </row>
    <row r="119" spans="1:20">
      <c r="A119" s="2" t="str">
        <f>IF('01_Forms_Raw'!A119="","",'01_Forms_Raw'!A119)</f>
        <v/>
      </c>
      <c r="B119" s="9" t="str">
        <f>IF('01_Forms_Raw'!B119="","",'01_Forms_Raw'!B119)</f>
        <v/>
      </c>
      <c r="C119" s="9" t="str">
        <f>IF('01_Forms_Raw'!H119="","",'01_Forms_Raw'!H119)</f>
        <v/>
      </c>
      <c r="D119" s="2" t="str">
        <f>IF('01_Forms_Raw'!D119="","",'01_Forms_Raw'!D119)</f>
        <v/>
      </c>
      <c r="E119" s="2" t="str">
        <f>IF('01_Forms_Raw'!E119="","",'01_Forms_Raw'!E119)</f>
        <v/>
      </c>
      <c r="F119" s="2" t="str">
        <f>IF('01_Forms_Raw'!F119="","",'01_Forms_Raw'!F119)</f>
        <v/>
      </c>
      <c r="G119" s="2" t="str">
        <f>IF('01_Forms_Raw'!G119="","",'01_Forms_Raw'!G119)</f>
        <v/>
      </c>
      <c r="H119" s="2" t="str">
        <f>IF('01_Forms_Raw'!I119="","",'01_Forms_Raw'!I119)</f>
        <v/>
      </c>
      <c r="I119" s="10" t="str">
        <f>IF('01_Forms_Raw'!J119="","",'01_Forms_Raw'!J119)</f>
        <v/>
      </c>
      <c r="J119" s="2" t="str">
        <f>IF('01_Forms_Raw'!K119="","",VALUE('01_Forms_Raw'!K119))</f>
        <v/>
      </c>
      <c r="K119" s="2" t="str">
        <f>IF('01_Forms_Raw'!L119="","",'01_Forms_Raw'!L119)</f>
        <v/>
      </c>
      <c r="L119" s="2" t="str">
        <f>IF('01_Forms_Raw'!M119="","",'01_Forms_Raw'!M119)</f>
        <v/>
      </c>
      <c r="M119" s="10"/>
      <c r="N119" s="10"/>
      <c r="O119" s="10" t="str">
        <f t="shared" si="18"/>
        <v/>
      </c>
      <c r="P119" s="10" t="str">
        <f t="shared" si="19"/>
        <v/>
      </c>
      <c r="Q119" s="2" t="str">
        <f t="shared" si="20"/>
        <v/>
      </c>
      <c r="R119" s="2" t="str">
        <f t="shared" si="21"/>
        <v/>
      </c>
      <c r="S119" s="10" t="str">
        <f t="shared" si="22"/>
        <v/>
      </c>
      <c r="T119" s="10" t="str">
        <f t="shared" si="23"/>
        <v/>
      </c>
    </row>
    <row r="120" spans="1:20">
      <c r="A120" s="2" t="str">
        <f>IF('01_Forms_Raw'!A120="","",'01_Forms_Raw'!A120)</f>
        <v/>
      </c>
      <c r="B120" s="9" t="str">
        <f>IF('01_Forms_Raw'!B120="","",'01_Forms_Raw'!B120)</f>
        <v/>
      </c>
      <c r="C120" s="9" t="str">
        <f>IF('01_Forms_Raw'!H120="","",'01_Forms_Raw'!H120)</f>
        <v/>
      </c>
      <c r="D120" s="2" t="str">
        <f>IF('01_Forms_Raw'!D120="","",'01_Forms_Raw'!D120)</f>
        <v/>
      </c>
      <c r="E120" s="2" t="str">
        <f>IF('01_Forms_Raw'!E120="","",'01_Forms_Raw'!E120)</f>
        <v/>
      </c>
      <c r="F120" s="2" t="str">
        <f>IF('01_Forms_Raw'!F120="","",'01_Forms_Raw'!F120)</f>
        <v/>
      </c>
      <c r="G120" s="2" t="str">
        <f>IF('01_Forms_Raw'!G120="","",'01_Forms_Raw'!G120)</f>
        <v/>
      </c>
      <c r="H120" s="2" t="str">
        <f>IF('01_Forms_Raw'!I120="","",'01_Forms_Raw'!I120)</f>
        <v/>
      </c>
      <c r="I120" s="10" t="str">
        <f>IF('01_Forms_Raw'!J120="","",'01_Forms_Raw'!J120)</f>
        <v/>
      </c>
      <c r="J120" s="2" t="str">
        <f>IF('01_Forms_Raw'!K120="","",VALUE('01_Forms_Raw'!K120))</f>
        <v/>
      </c>
      <c r="K120" s="2" t="str">
        <f>IF('01_Forms_Raw'!L120="","",'01_Forms_Raw'!L120)</f>
        <v/>
      </c>
      <c r="L120" s="2" t="str">
        <f>IF('01_Forms_Raw'!M120="","",'01_Forms_Raw'!M120)</f>
        <v/>
      </c>
      <c r="M120" s="10"/>
      <c r="N120" s="10"/>
      <c r="O120" s="10" t="str">
        <f t="shared" si="18"/>
        <v/>
      </c>
      <c r="P120" s="10" t="str">
        <f t="shared" si="19"/>
        <v/>
      </c>
      <c r="Q120" s="2" t="str">
        <f t="shared" si="20"/>
        <v/>
      </c>
      <c r="R120" s="2" t="str">
        <f t="shared" si="21"/>
        <v/>
      </c>
      <c r="S120" s="10" t="str">
        <f t="shared" si="22"/>
        <v/>
      </c>
      <c r="T120" s="10" t="str">
        <f t="shared" si="23"/>
        <v/>
      </c>
    </row>
    <row r="121" spans="1:20">
      <c r="A121" s="2" t="str">
        <f>IF('01_Forms_Raw'!A121="","",'01_Forms_Raw'!A121)</f>
        <v/>
      </c>
      <c r="B121" s="9" t="str">
        <f>IF('01_Forms_Raw'!B121="","",'01_Forms_Raw'!B121)</f>
        <v/>
      </c>
      <c r="C121" s="9" t="str">
        <f>IF('01_Forms_Raw'!H121="","",'01_Forms_Raw'!H121)</f>
        <v/>
      </c>
      <c r="D121" s="2" t="str">
        <f>IF('01_Forms_Raw'!D121="","",'01_Forms_Raw'!D121)</f>
        <v/>
      </c>
      <c r="E121" s="2" t="str">
        <f>IF('01_Forms_Raw'!E121="","",'01_Forms_Raw'!E121)</f>
        <v/>
      </c>
      <c r="F121" s="2" t="str">
        <f>IF('01_Forms_Raw'!F121="","",'01_Forms_Raw'!F121)</f>
        <v/>
      </c>
      <c r="G121" s="2" t="str">
        <f>IF('01_Forms_Raw'!G121="","",'01_Forms_Raw'!G121)</f>
        <v/>
      </c>
      <c r="H121" s="2" t="str">
        <f>IF('01_Forms_Raw'!I121="","",'01_Forms_Raw'!I121)</f>
        <v/>
      </c>
      <c r="I121" s="10" t="str">
        <f>IF('01_Forms_Raw'!J121="","",'01_Forms_Raw'!J121)</f>
        <v/>
      </c>
      <c r="J121" s="2" t="str">
        <f>IF('01_Forms_Raw'!K121="","",VALUE('01_Forms_Raw'!K121))</f>
        <v/>
      </c>
      <c r="K121" s="2" t="str">
        <f>IF('01_Forms_Raw'!L121="","",'01_Forms_Raw'!L121)</f>
        <v/>
      </c>
      <c r="L121" s="2" t="str">
        <f>IF('01_Forms_Raw'!M121="","",'01_Forms_Raw'!M121)</f>
        <v/>
      </c>
      <c r="M121" s="10"/>
      <c r="N121" s="10"/>
      <c r="O121" s="10" t="str">
        <f t="shared" si="18"/>
        <v/>
      </c>
      <c r="P121" s="10" t="str">
        <f t="shared" si="19"/>
        <v/>
      </c>
      <c r="Q121" s="2" t="str">
        <f t="shared" si="20"/>
        <v/>
      </c>
      <c r="R121" s="2" t="str">
        <f t="shared" si="21"/>
        <v/>
      </c>
      <c r="S121" s="10" t="str">
        <f t="shared" si="22"/>
        <v/>
      </c>
      <c r="T121" s="10" t="str">
        <f t="shared" si="23"/>
        <v/>
      </c>
    </row>
    <row r="122" spans="1:20">
      <c r="A122" s="2" t="str">
        <f>IF('01_Forms_Raw'!A122="","",'01_Forms_Raw'!A122)</f>
        <v/>
      </c>
      <c r="B122" s="9" t="str">
        <f>IF('01_Forms_Raw'!B122="","",'01_Forms_Raw'!B122)</f>
        <v/>
      </c>
      <c r="C122" s="9" t="str">
        <f>IF('01_Forms_Raw'!H122="","",'01_Forms_Raw'!H122)</f>
        <v/>
      </c>
      <c r="D122" s="2" t="str">
        <f>IF('01_Forms_Raw'!D122="","",'01_Forms_Raw'!D122)</f>
        <v/>
      </c>
      <c r="E122" s="2" t="str">
        <f>IF('01_Forms_Raw'!E122="","",'01_Forms_Raw'!E122)</f>
        <v/>
      </c>
      <c r="F122" s="2" t="str">
        <f>IF('01_Forms_Raw'!F122="","",'01_Forms_Raw'!F122)</f>
        <v/>
      </c>
      <c r="G122" s="2" t="str">
        <f>IF('01_Forms_Raw'!G122="","",'01_Forms_Raw'!G122)</f>
        <v/>
      </c>
      <c r="H122" s="2" t="str">
        <f>IF('01_Forms_Raw'!I122="","",'01_Forms_Raw'!I122)</f>
        <v/>
      </c>
      <c r="I122" s="10" t="str">
        <f>IF('01_Forms_Raw'!J122="","",'01_Forms_Raw'!J122)</f>
        <v/>
      </c>
      <c r="J122" s="2" t="str">
        <f>IF('01_Forms_Raw'!K122="","",VALUE('01_Forms_Raw'!K122))</f>
        <v/>
      </c>
      <c r="K122" s="2" t="str">
        <f>IF('01_Forms_Raw'!L122="","",'01_Forms_Raw'!L122)</f>
        <v/>
      </c>
      <c r="L122" s="2" t="str">
        <f>IF('01_Forms_Raw'!M122="","",'01_Forms_Raw'!M122)</f>
        <v/>
      </c>
      <c r="M122" s="10"/>
      <c r="N122" s="10"/>
      <c r="O122" s="10" t="str">
        <f t="shared" si="18"/>
        <v/>
      </c>
      <c r="P122" s="10" t="str">
        <f t="shared" si="19"/>
        <v/>
      </c>
      <c r="Q122" s="2" t="str">
        <f t="shared" si="20"/>
        <v/>
      </c>
      <c r="R122" s="2" t="str">
        <f t="shared" si="21"/>
        <v/>
      </c>
      <c r="S122" s="10" t="str">
        <f t="shared" si="22"/>
        <v/>
      </c>
      <c r="T122" s="10" t="str">
        <f t="shared" si="23"/>
        <v/>
      </c>
    </row>
    <row r="123" spans="1:20">
      <c r="A123" s="2" t="str">
        <f>IF('01_Forms_Raw'!A123="","",'01_Forms_Raw'!A123)</f>
        <v/>
      </c>
      <c r="B123" s="9" t="str">
        <f>IF('01_Forms_Raw'!B123="","",'01_Forms_Raw'!B123)</f>
        <v/>
      </c>
      <c r="C123" s="9" t="str">
        <f>IF('01_Forms_Raw'!H123="","",'01_Forms_Raw'!H123)</f>
        <v/>
      </c>
      <c r="D123" s="2" t="str">
        <f>IF('01_Forms_Raw'!D123="","",'01_Forms_Raw'!D123)</f>
        <v/>
      </c>
      <c r="E123" s="2" t="str">
        <f>IF('01_Forms_Raw'!E123="","",'01_Forms_Raw'!E123)</f>
        <v/>
      </c>
      <c r="F123" s="2" t="str">
        <f>IF('01_Forms_Raw'!F123="","",'01_Forms_Raw'!F123)</f>
        <v/>
      </c>
      <c r="G123" s="2" t="str">
        <f>IF('01_Forms_Raw'!G123="","",'01_Forms_Raw'!G123)</f>
        <v/>
      </c>
      <c r="H123" s="2" t="str">
        <f>IF('01_Forms_Raw'!I123="","",'01_Forms_Raw'!I123)</f>
        <v/>
      </c>
      <c r="I123" s="10" t="str">
        <f>IF('01_Forms_Raw'!J123="","",'01_Forms_Raw'!J123)</f>
        <v/>
      </c>
      <c r="J123" s="2" t="str">
        <f>IF('01_Forms_Raw'!K123="","",VALUE('01_Forms_Raw'!K123))</f>
        <v/>
      </c>
      <c r="K123" s="2" t="str">
        <f>IF('01_Forms_Raw'!L123="","",'01_Forms_Raw'!L123)</f>
        <v/>
      </c>
      <c r="L123" s="2" t="str">
        <f>IF('01_Forms_Raw'!M123="","",'01_Forms_Raw'!M123)</f>
        <v/>
      </c>
      <c r="M123" s="10"/>
      <c r="N123" s="10"/>
      <c r="O123" s="10" t="str">
        <f t="shared" si="18"/>
        <v/>
      </c>
      <c r="P123" s="10" t="str">
        <f t="shared" si="19"/>
        <v/>
      </c>
      <c r="Q123" s="2" t="str">
        <f t="shared" si="20"/>
        <v/>
      </c>
      <c r="R123" s="2" t="str">
        <f t="shared" si="21"/>
        <v/>
      </c>
      <c r="S123" s="10" t="str">
        <f t="shared" si="22"/>
        <v/>
      </c>
      <c r="T123" s="10" t="str">
        <f t="shared" si="23"/>
        <v/>
      </c>
    </row>
    <row r="124" spans="1:20">
      <c r="A124" s="2" t="str">
        <f>IF('01_Forms_Raw'!A124="","",'01_Forms_Raw'!A124)</f>
        <v/>
      </c>
      <c r="B124" s="9" t="str">
        <f>IF('01_Forms_Raw'!B124="","",'01_Forms_Raw'!B124)</f>
        <v/>
      </c>
      <c r="C124" s="9" t="str">
        <f>IF('01_Forms_Raw'!H124="","",'01_Forms_Raw'!H124)</f>
        <v/>
      </c>
      <c r="D124" s="2" t="str">
        <f>IF('01_Forms_Raw'!D124="","",'01_Forms_Raw'!D124)</f>
        <v/>
      </c>
      <c r="E124" s="2" t="str">
        <f>IF('01_Forms_Raw'!E124="","",'01_Forms_Raw'!E124)</f>
        <v/>
      </c>
      <c r="F124" s="2" t="str">
        <f>IF('01_Forms_Raw'!F124="","",'01_Forms_Raw'!F124)</f>
        <v/>
      </c>
      <c r="G124" s="2" t="str">
        <f>IF('01_Forms_Raw'!G124="","",'01_Forms_Raw'!G124)</f>
        <v/>
      </c>
      <c r="H124" s="2" t="str">
        <f>IF('01_Forms_Raw'!I124="","",'01_Forms_Raw'!I124)</f>
        <v/>
      </c>
      <c r="I124" s="10" t="str">
        <f>IF('01_Forms_Raw'!J124="","",'01_Forms_Raw'!J124)</f>
        <v/>
      </c>
      <c r="J124" s="2" t="str">
        <f>IF('01_Forms_Raw'!K124="","",VALUE('01_Forms_Raw'!K124))</f>
        <v/>
      </c>
      <c r="K124" s="2" t="str">
        <f>IF('01_Forms_Raw'!L124="","",'01_Forms_Raw'!L124)</f>
        <v/>
      </c>
      <c r="L124" s="2" t="str">
        <f>IF('01_Forms_Raw'!M124="","",'01_Forms_Raw'!M124)</f>
        <v/>
      </c>
      <c r="M124" s="10"/>
      <c r="N124" s="10"/>
      <c r="O124" s="10" t="str">
        <f t="shared" si="18"/>
        <v/>
      </c>
      <c r="P124" s="10" t="str">
        <f t="shared" si="19"/>
        <v/>
      </c>
      <c r="Q124" s="2" t="str">
        <f t="shared" si="20"/>
        <v/>
      </c>
      <c r="R124" s="2" t="str">
        <f t="shared" si="21"/>
        <v/>
      </c>
      <c r="S124" s="10" t="str">
        <f t="shared" si="22"/>
        <v/>
      </c>
      <c r="T124" s="10" t="str">
        <f t="shared" si="23"/>
        <v/>
      </c>
    </row>
    <row r="125" spans="1:20">
      <c r="A125" s="2" t="str">
        <f>IF('01_Forms_Raw'!A125="","",'01_Forms_Raw'!A125)</f>
        <v/>
      </c>
      <c r="B125" s="9" t="str">
        <f>IF('01_Forms_Raw'!B125="","",'01_Forms_Raw'!B125)</f>
        <v/>
      </c>
      <c r="C125" s="9" t="str">
        <f>IF('01_Forms_Raw'!H125="","",'01_Forms_Raw'!H125)</f>
        <v/>
      </c>
      <c r="D125" s="2" t="str">
        <f>IF('01_Forms_Raw'!D125="","",'01_Forms_Raw'!D125)</f>
        <v/>
      </c>
      <c r="E125" s="2" t="str">
        <f>IF('01_Forms_Raw'!E125="","",'01_Forms_Raw'!E125)</f>
        <v/>
      </c>
      <c r="F125" s="2" t="str">
        <f>IF('01_Forms_Raw'!F125="","",'01_Forms_Raw'!F125)</f>
        <v/>
      </c>
      <c r="G125" s="2" t="str">
        <f>IF('01_Forms_Raw'!G125="","",'01_Forms_Raw'!G125)</f>
        <v/>
      </c>
      <c r="H125" s="2" t="str">
        <f>IF('01_Forms_Raw'!I125="","",'01_Forms_Raw'!I125)</f>
        <v/>
      </c>
      <c r="I125" s="10" t="str">
        <f>IF('01_Forms_Raw'!J125="","",'01_Forms_Raw'!J125)</f>
        <v/>
      </c>
      <c r="J125" s="2" t="str">
        <f>IF('01_Forms_Raw'!K125="","",VALUE('01_Forms_Raw'!K125))</f>
        <v/>
      </c>
      <c r="K125" s="2" t="str">
        <f>IF('01_Forms_Raw'!L125="","",'01_Forms_Raw'!L125)</f>
        <v/>
      </c>
      <c r="L125" s="2" t="str">
        <f>IF('01_Forms_Raw'!M125="","",'01_Forms_Raw'!M125)</f>
        <v/>
      </c>
      <c r="M125" s="10"/>
      <c r="N125" s="10"/>
      <c r="O125" s="10" t="str">
        <f t="shared" si="18"/>
        <v/>
      </c>
      <c r="P125" s="10" t="str">
        <f t="shared" si="19"/>
        <v/>
      </c>
      <c r="Q125" s="2" t="str">
        <f t="shared" si="20"/>
        <v/>
      </c>
      <c r="R125" s="2" t="str">
        <f t="shared" si="21"/>
        <v/>
      </c>
      <c r="S125" s="10" t="str">
        <f t="shared" si="22"/>
        <v/>
      </c>
      <c r="T125" s="10" t="str">
        <f t="shared" si="23"/>
        <v/>
      </c>
    </row>
    <row r="126" spans="1:20">
      <c r="A126" s="2" t="str">
        <f>IF('01_Forms_Raw'!A126="","",'01_Forms_Raw'!A126)</f>
        <v/>
      </c>
      <c r="B126" s="9" t="str">
        <f>IF('01_Forms_Raw'!B126="","",'01_Forms_Raw'!B126)</f>
        <v/>
      </c>
      <c r="C126" s="9" t="str">
        <f>IF('01_Forms_Raw'!H126="","",'01_Forms_Raw'!H126)</f>
        <v/>
      </c>
      <c r="D126" s="2" t="str">
        <f>IF('01_Forms_Raw'!D126="","",'01_Forms_Raw'!D126)</f>
        <v/>
      </c>
      <c r="E126" s="2" t="str">
        <f>IF('01_Forms_Raw'!E126="","",'01_Forms_Raw'!E126)</f>
        <v/>
      </c>
      <c r="F126" s="2" t="str">
        <f>IF('01_Forms_Raw'!F126="","",'01_Forms_Raw'!F126)</f>
        <v/>
      </c>
      <c r="G126" s="2" t="str">
        <f>IF('01_Forms_Raw'!G126="","",'01_Forms_Raw'!G126)</f>
        <v/>
      </c>
      <c r="H126" s="2" t="str">
        <f>IF('01_Forms_Raw'!I126="","",'01_Forms_Raw'!I126)</f>
        <v/>
      </c>
      <c r="I126" s="10" t="str">
        <f>IF('01_Forms_Raw'!J126="","",'01_Forms_Raw'!J126)</f>
        <v/>
      </c>
      <c r="J126" s="2" t="str">
        <f>IF('01_Forms_Raw'!K126="","",VALUE('01_Forms_Raw'!K126))</f>
        <v/>
      </c>
      <c r="K126" s="2" t="str">
        <f>IF('01_Forms_Raw'!L126="","",'01_Forms_Raw'!L126)</f>
        <v/>
      </c>
      <c r="L126" s="2" t="str">
        <f>IF('01_Forms_Raw'!M126="","",'01_Forms_Raw'!M126)</f>
        <v/>
      </c>
      <c r="M126" s="10"/>
      <c r="N126" s="10"/>
      <c r="O126" s="10" t="str">
        <f t="shared" si="18"/>
        <v/>
      </c>
      <c r="P126" s="10" t="str">
        <f t="shared" si="19"/>
        <v/>
      </c>
      <c r="Q126" s="2" t="str">
        <f t="shared" si="20"/>
        <v/>
      </c>
      <c r="R126" s="2" t="str">
        <f t="shared" si="21"/>
        <v/>
      </c>
      <c r="S126" s="10" t="str">
        <f t="shared" si="22"/>
        <v/>
      </c>
      <c r="T126" s="10" t="str">
        <f t="shared" si="23"/>
        <v/>
      </c>
    </row>
    <row r="127" spans="1:20">
      <c r="A127" s="2" t="str">
        <f>IF('01_Forms_Raw'!A127="","",'01_Forms_Raw'!A127)</f>
        <v/>
      </c>
      <c r="B127" s="9" t="str">
        <f>IF('01_Forms_Raw'!B127="","",'01_Forms_Raw'!B127)</f>
        <v/>
      </c>
      <c r="C127" s="9" t="str">
        <f>IF('01_Forms_Raw'!H127="","",'01_Forms_Raw'!H127)</f>
        <v/>
      </c>
      <c r="D127" s="2" t="str">
        <f>IF('01_Forms_Raw'!D127="","",'01_Forms_Raw'!D127)</f>
        <v/>
      </c>
      <c r="E127" s="2" t="str">
        <f>IF('01_Forms_Raw'!E127="","",'01_Forms_Raw'!E127)</f>
        <v/>
      </c>
      <c r="F127" s="2" t="str">
        <f>IF('01_Forms_Raw'!F127="","",'01_Forms_Raw'!F127)</f>
        <v/>
      </c>
      <c r="G127" s="2" t="str">
        <f>IF('01_Forms_Raw'!G127="","",'01_Forms_Raw'!G127)</f>
        <v/>
      </c>
      <c r="H127" s="2" t="str">
        <f>IF('01_Forms_Raw'!I127="","",'01_Forms_Raw'!I127)</f>
        <v/>
      </c>
      <c r="I127" s="10" t="str">
        <f>IF('01_Forms_Raw'!J127="","",'01_Forms_Raw'!J127)</f>
        <v/>
      </c>
      <c r="J127" s="2" t="str">
        <f>IF('01_Forms_Raw'!K127="","",VALUE('01_Forms_Raw'!K127))</f>
        <v/>
      </c>
      <c r="K127" s="2" t="str">
        <f>IF('01_Forms_Raw'!L127="","",'01_Forms_Raw'!L127)</f>
        <v/>
      </c>
      <c r="L127" s="2" t="str">
        <f>IF('01_Forms_Raw'!M127="","",'01_Forms_Raw'!M127)</f>
        <v/>
      </c>
      <c r="M127" s="10"/>
      <c r="N127" s="10"/>
      <c r="O127" s="10" t="str">
        <f t="shared" si="18"/>
        <v/>
      </c>
      <c r="P127" s="10" t="str">
        <f t="shared" si="19"/>
        <v/>
      </c>
      <c r="Q127" s="2" t="str">
        <f t="shared" si="20"/>
        <v/>
      </c>
      <c r="R127" s="2" t="str">
        <f t="shared" si="21"/>
        <v/>
      </c>
      <c r="S127" s="10" t="str">
        <f t="shared" si="22"/>
        <v/>
      </c>
      <c r="T127" s="10" t="str">
        <f t="shared" si="23"/>
        <v/>
      </c>
    </row>
    <row r="128" spans="1:20">
      <c r="A128" s="2" t="str">
        <f>IF('01_Forms_Raw'!A128="","",'01_Forms_Raw'!A128)</f>
        <v/>
      </c>
      <c r="B128" s="9" t="str">
        <f>IF('01_Forms_Raw'!B128="","",'01_Forms_Raw'!B128)</f>
        <v/>
      </c>
      <c r="C128" s="9" t="str">
        <f>IF('01_Forms_Raw'!H128="","",'01_Forms_Raw'!H128)</f>
        <v/>
      </c>
      <c r="D128" s="2" t="str">
        <f>IF('01_Forms_Raw'!D128="","",'01_Forms_Raw'!D128)</f>
        <v/>
      </c>
      <c r="E128" s="2" t="str">
        <f>IF('01_Forms_Raw'!E128="","",'01_Forms_Raw'!E128)</f>
        <v/>
      </c>
      <c r="F128" s="2" t="str">
        <f>IF('01_Forms_Raw'!F128="","",'01_Forms_Raw'!F128)</f>
        <v/>
      </c>
      <c r="G128" s="2" t="str">
        <f>IF('01_Forms_Raw'!G128="","",'01_Forms_Raw'!G128)</f>
        <v/>
      </c>
      <c r="H128" s="2" t="str">
        <f>IF('01_Forms_Raw'!I128="","",'01_Forms_Raw'!I128)</f>
        <v/>
      </c>
      <c r="I128" s="10" t="str">
        <f>IF('01_Forms_Raw'!J128="","",'01_Forms_Raw'!J128)</f>
        <v/>
      </c>
      <c r="J128" s="2" t="str">
        <f>IF('01_Forms_Raw'!K128="","",VALUE('01_Forms_Raw'!K128))</f>
        <v/>
      </c>
      <c r="K128" s="2" t="str">
        <f>IF('01_Forms_Raw'!L128="","",'01_Forms_Raw'!L128)</f>
        <v/>
      </c>
      <c r="L128" s="2" t="str">
        <f>IF('01_Forms_Raw'!M128="","",'01_Forms_Raw'!M128)</f>
        <v/>
      </c>
      <c r="M128" s="10"/>
      <c r="N128" s="10"/>
      <c r="O128" s="10" t="str">
        <f t="shared" si="18"/>
        <v/>
      </c>
      <c r="P128" s="10" t="str">
        <f t="shared" si="19"/>
        <v/>
      </c>
      <c r="Q128" s="2" t="str">
        <f t="shared" si="20"/>
        <v/>
      </c>
      <c r="R128" s="2" t="str">
        <f t="shared" si="21"/>
        <v/>
      </c>
      <c r="S128" s="10" t="str">
        <f t="shared" si="22"/>
        <v/>
      </c>
      <c r="T128" s="10" t="str">
        <f t="shared" si="23"/>
        <v/>
      </c>
    </row>
    <row r="129" spans="1:20">
      <c r="A129" s="2" t="str">
        <f>IF('01_Forms_Raw'!A129="","",'01_Forms_Raw'!A129)</f>
        <v/>
      </c>
      <c r="B129" s="9" t="str">
        <f>IF('01_Forms_Raw'!B129="","",'01_Forms_Raw'!B129)</f>
        <v/>
      </c>
      <c r="C129" s="9" t="str">
        <f>IF('01_Forms_Raw'!H129="","",'01_Forms_Raw'!H129)</f>
        <v/>
      </c>
      <c r="D129" s="2" t="str">
        <f>IF('01_Forms_Raw'!D129="","",'01_Forms_Raw'!D129)</f>
        <v/>
      </c>
      <c r="E129" s="2" t="str">
        <f>IF('01_Forms_Raw'!E129="","",'01_Forms_Raw'!E129)</f>
        <v/>
      </c>
      <c r="F129" s="2" t="str">
        <f>IF('01_Forms_Raw'!F129="","",'01_Forms_Raw'!F129)</f>
        <v/>
      </c>
      <c r="G129" s="2" t="str">
        <f>IF('01_Forms_Raw'!G129="","",'01_Forms_Raw'!G129)</f>
        <v/>
      </c>
      <c r="H129" s="2" t="str">
        <f>IF('01_Forms_Raw'!I129="","",'01_Forms_Raw'!I129)</f>
        <v/>
      </c>
      <c r="I129" s="10" t="str">
        <f>IF('01_Forms_Raw'!J129="","",'01_Forms_Raw'!J129)</f>
        <v/>
      </c>
      <c r="J129" s="2" t="str">
        <f>IF('01_Forms_Raw'!K129="","",VALUE('01_Forms_Raw'!K129))</f>
        <v/>
      </c>
      <c r="K129" s="2" t="str">
        <f>IF('01_Forms_Raw'!L129="","",'01_Forms_Raw'!L129)</f>
        <v/>
      </c>
      <c r="L129" s="2" t="str">
        <f>IF('01_Forms_Raw'!M129="","",'01_Forms_Raw'!M129)</f>
        <v/>
      </c>
      <c r="M129" s="10"/>
      <c r="N129" s="10"/>
      <c r="O129" s="10" t="str">
        <f t="shared" si="18"/>
        <v/>
      </c>
      <c r="P129" s="10" t="str">
        <f t="shared" si="19"/>
        <v/>
      </c>
      <c r="Q129" s="2" t="str">
        <f t="shared" si="20"/>
        <v/>
      </c>
      <c r="R129" s="2" t="str">
        <f t="shared" si="21"/>
        <v/>
      </c>
      <c r="S129" s="10" t="str">
        <f t="shared" si="22"/>
        <v/>
      </c>
      <c r="T129" s="10" t="str">
        <f t="shared" si="23"/>
        <v/>
      </c>
    </row>
    <row r="130" spans="1:20">
      <c r="A130" s="2" t="str">
        <f>IF('01_Forms_Raw'!A130="","",'01_Forms_Raw'!A130)</f>
        <v/>
      </c>
      <c r="B130" s="9" t="str">
        <f>IF('01_Forms_Raw'!B130="","",'01_Forms_Raw'!B130)</f>
        <v/>
      </c>
      <c r="C130" s="9" t="str">
        <f>IF('01_Forms_Raw'!H130="","",'01_Forms_Raw'!H130)</f>
        <v/>
      </c>
      <c r="D130" s="2" t="str">
        <f>IF('01_Forms_Raw'!D130="","",'01_Forms_Raw'!D130)</f>
        <v/>
      </c>
      <c r="E130" s="2" t="str">
        <f>IF('01_Forms_Raw'!E130="","",'01_Forms_Raw'!E130)</f>
        <v/>
      </c>
      <c r="F130" s="2" t="str">
        <f>IF('01_Forms_Raw'!F130="","",'01_Forms_Raw'!F130)</f>
        <v/>
      </c>
      <c r="G130" s="2" t="str">
        <f>IF('01_Forms_Raw'!G130="","",'01_Forms_Raw'!G130)</f>
        <v/>
      </c>
      <c r="H130" s="2" t="str">
        <f>IF('01_Forms_Raw'!I130="","",'01_Forms_Raw'!I130)</f>
        <v/>
      </c>
      <c r="I130" s="10" t="str">
        <f>IF('01_Forms_Raw'!J130="","",'01_Forms_Raw'!J130)</f>
        <v/>
      </c>
      <c r="J130" s="2" t="str">
        <f>IF('01_Forms_Raw'!K130="","",VALUE('01_Forms_Raw'!K130))</f>
        <v/>
      </c>
      <c r="K130" s="2" t="str">
        <f>IF('01_Forms_Raw'!L130="","",'01_Forms_Raw'!L130)</f>
        <v/>
      </c>
      <c r="L130" s="2" t="str">
        <f>IF('01_Forms_Raw'!M130="","",'01_Forms_Raw'!M130)</f>
        <v/>
      </c>
      <c r="M130" s="10"/>
      <c r="N130" s="10"/>
      <c r="O130" s="10" t="str">
        <f t="shared" ref="O130:O161" si="24">IF(A130="","",IF(AND(D130&lt;&gt;"",E130&lt;&gt;"",H130&lt;&gt;"",I130&lt;&gt;"",J130&lt;&gt;"",K130&lt;&gt;""),"Completa","Incompleta"))</f>
        <v/>
      </c>
      <c r="P130" s="10" t="str">
        <f t="shared" ref="P130:P161" si="25">IF(A130="","",K130-C130)</f>
        <v/>
      </c>
      <c r="Q130" s="2" t="str">
        <f t="shared" ref="Q130:Q161" si="26">IF(A130="","",IF(P130&lt;3,"Riesgo SLA",IF(P130&lt;7,"Corto","OK")))</f>
        <v/>
      </c>
      <c r="R130" s="2" t="str">
        <f t="shared" ref="R130:R161" si="27">IF(A130="","","OT-UM-"&amp;TEXT(C130,"yyyymm")&amp;"-"&amp;TEXT(A130,"000"))</f>
        <v/>
      </c>
      <c r="S130" s="10" t="str">
        <f t="shared" ref="S130:S161" si="28">IF(A130="","",IF(O130="Completa","Sí","No"))</f>
        <v/>
      </c>
      <c r="T130" s="10" t="str">
        <f t="shared" ref="T130:T161" si="29">IF(A130="","",IF(O130="Completa","Lista para OT","Completar brief antes de pasar a diseño"))</f>
        <v/>
      </c>
    </row>
    <row r="131" spans="1:20">
      <c r="A131" s="2" t="str">
        <f>IF('01_Forms_Raw'!A131="","",'01_Forms_Raw'!A131)</f>
        <v/>
      </c>
      <c r="B131" s="9" t="str">
        <f>IF('01_Forms_Raw'!B131="","",'01_Forms_Raw'!B131)</f>
        <v/>
      </c>
      <c r="C131" s="9" t="str">
        <f>IF('01_Forms_Raw'!H131="","",'01_Forms_Raw'!H131)</f>
        <v/>
      </c>
      <c r="D131" s="2" t="str">
        <f>IF('01_Forms_Raw'!D131="","",'01_Forms_Raw'!D131)</f>
        <v/>
      </c>
      <c r="E131" s="2" t="str">
        <f>IF('01_Forms_Raw'!E131="","",'01_Forms_Raw'!E131)</f>
        <v/>
      </c>
      <c r="F131" s="2" t="str">
        <f>IF('01_Forms_Raw'!F131="","",'01_Forms_Raw'!F131)</f>
        <v/>
      </c>
      <c r="G131" s="2" t="str">
        <f>IF('01_Forms_Raw'!G131="","",'01_Forms_Raw'!G131)</f>
        <v/>
      </c>
      <c r="H131" s="2" t="str">
        <f>IF('01_Forms_Raw'!I131="","",'01_Forms_Raw'!I131)</f>
        <v/>
      </c>
      <c r="I131" s="10" t="str">
        <f>IF('01_Forms_Raw'!J131="","",'01_Forms_Raw'!J131)</f>
        <v/>
      </c>
      <c r="J131" s="2" t="str">
        <f>IF('01_Forms_Raw'!K131="","",VALUE('01_Forms_Raw'!K131))</f>
        <v/>
      </c>
      <c r="K131" s="2" t="str">
        <f>IF('01_Forms_Raw'!L131="","",'01_Forms_Raw'!L131)</f>
        <v/>
      </c>
      <c r="L131" s="2" t="str">
        <f>IF('01_Forms_Raw'!M131="","",'01_Forms_Raw'!M131)</f>
        <v/>
      </c>
      <c r="M131" s="10"/>
      <c r="N131" s="10"/>
      <c r="O131" s="10" t="str">
        <f t="shared" si="24"/>
        <v/>
      </c>
      <c r="P131" s="10" t="str">
        <f t="shared" si="25"/>
        <v/>
      </c>
      <c r="Q131" s="2" t="str">
        <f t="shared" si="26"/>
        <v/>
      </c>
      <c r="R131" s="2" t="str">
        <f t="shared" si="27"/>
        <v/>
      </c>
      <c r="S131" s="10" t="str">
        <f t="shared" si="28"/>
        <v/>
      </c>
      <c r="T131" s="10" t="str">
        <f t="shared" si="29"/>
        <v/>
      </c>
    </row>
    <row r="132" spans="1:20">
      <c r="A132" s="2" t="str">
        <f>IF('01_Forms_Raw'!A132="","",'01_Forms_Raw'!A132)</f>
        <v/>
      </c>
      <c r="B132" s="9" t="str">
        <f>IF('01_Forms_Raw'!B132="","",'01_Forms_Raw'!B132)</f>
        <v/>
      </c>
      <c r="C132" s="9" t="str">
        <f>IF('01_Forms_Raw'!H132="","",'01_Forms_Raw'!H132)</f>
        <v/>
      </c>
      <c r="D132" s="2" t="str">
        <f>IF('01_Forms_Raw'!D132="","",'01_Forms_Raw'!D132)</f>
        <v/>
      </c>
      <c r="E132" s="2" t="str">
        <f>IF('01_Forms_Raw'!E132="","",'01_Forms_Raw'!E132)</f>
        <v/>
      </c>
      <c r="F132" s="2" t="str">
        <f>IF('01_Forms_Raw'!F132="","",'01_Forms_Raw'!F132)</f>
        <v/>
      </c>
      <c r="G132" s="2" t="str">
        <f>IF('01_Forms_Raw'!G132="","",'01_Forms_Raw'!G132)</f>
        <v/>
      </c>
      <c r="H132" s="2" t="str">
        <f>IF('01_Forms_Raw'!I132="","",'01_Forms_Raw'!I132)</f>
        <v/>
      </c>
      <c r="I132" s="10" t="str">
        <f>IF('01_Forms_Raw'!J132="","",'01_Forms_Raw'!J132)</f>
        <v/>
      </c>
      <c r="J132" s="2" t="str">
        <f>IF('01_Forms_Raw'!K132="","",VALUE('01_Forms_Raw'!K132))</f>
        <v/>
      </c>
      <c r="K132" s="2" t="str">
        <f>IF('01_Forms_Raw'!L132="","",'01_Forms_Raw'!L132)</f>
        <v/>
      </c>
      <c r="L132" s="2" t="str">
        <f>IF('01_Forms_Raw'!M132="","",'01_Forms_Raw'!M132)</f>
        <v/>
      </c>
      <c r="M132" s="10"/>
      <c r="N132" s="10"/>
      <c r="O132" s="10" t="str">
        <f t="shared" si="24"/>
        <v/>
      </c>
      <c r="P132" s="10" t="str">
        <f t="shared" si="25"/>
        <v/>
      </c>
      <c r="Q132" s="2" t="str">
        <f t="shared" si="26"/>
        <v/>
      </c>
      <c r="R132" s="2" t="str">
        <f t="shared" si="27"/>
        <v/>
      </c>
      <c r="S132" s="10" t="str">
        <f t="shared" si="28"/>
        <v/>
      </c>
      <c r="T132" s="10" t="str">
        <f t="shared" si="29"/>
        <v/>
      </c>
    </row>
    <row r="133" spans="1:20">
      <c r="A133" s="2" t="str">
        <f>IF('01_Forms_Raw'!A133="","",'01_Forms_Raw'!A133)</f>
        <v/>
      </c>
      <c r="B133" s="9" t="str">
        <f>IF('01_Forms_Raw'!B133="","",'01_Forms_Raw'!B133)</f>
        <v/>
      </c>
      <c r="C133" s="9" t="str">
        <f>IF('01_Forms_Raw'!H133="","",'01_Forms_Raw'!H133)</f>
        <v/>
      </c>
      <c r="D133" s="2" t="str">
        <f>IF('01_Forms_Raw'!D133="","",'01_Forms_Raw'!D133)</f>
        <v/>
      </c>
      <c r="E133" s="2" t="str">
        <f>IF('01_Forms_Raw'!E133="","",'01_Forms_Raw'!E133)</f>
        <v/>
      </c>
      <c r="F133" s="2" t="str">
        <f>IF('01_Forms_Raw'!F133="","",'01_Forms_Raw'!F133)</f>
        <v/>
      </c>
      <c r="G133" s="2" t="str">
        <f>IF('01_Forms_Raw'!G133="","",'01_Forms_Raw'!G133)</f>
        <v/>
      </c>
      <c r="H133" s="2" t="str">
        <f>IF('01_Forms_Raw'!I133="","",'01_Forms_Raw'!I133)</f>
        <v/>
      </c>
      <c r="I133" s="10" t="str">
        <f>IF('01_Forms_Raw'!J133="","",'01_Forms_Raw'!J133)</f>
        <v/>
      </c>
      <c r="J133" s="2" t="str">
        <f>IF('01_Forms_Raw'!K133="","",VALUE('01_Forms_Raw'!K133))</f>
        <v/>
      </c>
      <c r="K133" s="2" t="str">
        <f>IF('01_Forms_Raw'!L133="","",'01_Forms_Raw'!L133)</f>
        <v/>
      </c>
      <c r="L133" s="2" t="str">
        <f>IF('01_Forms_Raw'!M133="","",'01_Forms_Raw'!M133)</f>
        <v/>
      </c>
      <c r="M133" s="10"/>
      <c r="N133" s="10"/>
      <c r="O133" s="10" t="str">
        <f t="shared" si="24"/>
        <v/>
      </c>
      <c r="P133" s="10" t="str">
        <f t="shared" si="25"/>
        <v/>
      </c>
      <c r="Q133" s="2" t="str">
        <f t="shared" si="26"/>
        <v/>
      </c>
      <c r="R133" s="2" t="str">
        <f t="shared" si="27"/>
        <v/>
      </c>
      <c r="S133" s="10" t="str">
        <f t="shared" si="28"/>
        <v/>
      </c>
      <c r="T133" s="10" t="str">
        <f t="shared" si="29"/>
        <v/>
      </c>
    </row>
    <row r="134" spans="1:20">
      <c r="A134" s="2" t="str">
        <f>IF('01_Forms_Raw'!A134="","",'01_Forms_Raw'!A134)</f>
        <v/>
      </c>
      <c r="B134" s="9" t="str">
        <f>IF('01_Forms_Raw'!B134="","",'01_Forms_Raw'!B134)</f>
        <v/>
      </c>
      <c r="C134" s="9" t="str">
        <f>IF('01_Forms_Raw'!H134="","",'01_Forms_Raw'!H134)</f>
        <v/>
      </c>
      <c r="D134" s="2" t="str">
        <f>IF('01_Forms_Raw'!D134="","",'01_Forms_Raw'!D134)</f>
        <v/>
      </c>
      <c r="E134" s="2" t="str">
        <f>IF('01_Forms_Raw'!E134="","",'01_Forms_Raw'!E134)</f>
        <v/>
      </c>
      <c r="F134" s="2" t="str">
        <f>IF('01_Forms_Raw'!F134="","",'01_Forms_Raw'!F134)</f>
        <v/>
      </c>
      <c r="G134" s="2" t="str">
        <f>IF('01_Forms_Raw'!G134="","",'01_Forms_Raw'!G134)</f>
        <v/>
      </c>
      <c r="H134" s="2" t="str">
        <f>IF('01_Forms_Raw'!I134="","",'01_Forms_Raw'!I134)</f>
        <v/>
      </c>
      <c r="I134" s="10" t="str">
        <f>IF('01_Forms_Raw'!J134="","",'01_Forms_Raw'!J134)</f>
        <v/>
      </c>
      <c r="J134" s="2" t="str">
        <f>IF('01_Forms_Raw'!K134="","",VALUE('01_Forms_Raw'!K134))</f>
        <v/>
      </c>
      <c r="K134" s="2" t="str">
        <f>IF('01_Forms_Raw'!L134="","",'01_Forms_Raw'!L134)</f>
        <v/>
      </c>
      <c r="L134" s="2" t="str">
        <f>IF('01_Forms_Raw'!M134="","",'01_Forms_Raw'!M134)</f>
        <v/>
      </c>
      <c r="M134" s="10"/>
      <c r="N134" s="10"/>
      <c r="O134" s="10" t="str">
        <f t="shared" si="24"/>
        <v/>
      </c>
      <c r="P134" s="10" t="str">
        <f t="shared" si="25"/>
        <v/>
      </c>
      <c r="Q134" s="2" t="str">
        <f t="shared" si="26"/>
        <v/>
      </c>
      <c r="R134" s="2" t="str">
        <f t="shared" si="27"/>
        <v/>
      </c>
      <c r="S134" s="10" t="str">
        <f t="shared" si="28"/>
        <v/>
      </c>
      <c r="T134" s="10" t="str">
        <f t="shared" si="29"/>
        <v/>
      </c>
    </row>
    <row r="135" spans="1:20">
      <c r="A135" s="2" t="str">
        <f>IF('01_Forms_Raw'!A135="","",'01_Forms_Raw'!A135)</f>
        <v/>
      </c>
      <c r="B135" s="9" t="str">
        <f>IF('01_Forms_Raw'!B135="","",'01_Forms_Raw'!B135)</f>
        <v/>
      </c>
      <c r="C135" s="9" t="str">
        <f>IF('01_Forms_Raw'!H135="","",'01_Forms_Raw'!H135)</f>
        <v/>
      </c>
      <c r="D135" s="2" t="str">
        <f>IF('01_Forms_Raw'!D135="","",'01_Forms_Raw'!D135)</f>
        <v/>
      </c>
      <c r="E135" s="2" t="str">
        <f>IF('01_Forms_Raw'!E135="","",'01_Forms_Raw'!E135)</f>
        <v/>
      </c>
      <c r="F135" s="2" t="str">
        <f>IF('01_Forms_Raw'!F135="","",'01_Forms_Raw'!F135)</f>
        <v/>
      </c>
      <c r="G135" s="2" t="str">
        <f>IF('01_Forms_Raw'!G135="","",'01_Forms_Raw'!G135)</f>
        <v/>
      </c>
      <c r="H135" s="2" t="str">
        <f>IF('01_Forms_Raw'!I135="","",'01_Forms_Raw'!I135)</f>
        <v/>
      </c>
      <c r="I135" s="10" t="str">
        <f>IF('01_Forms_Raw'!J135="","",'01_Forms_Raw'!J135)</f>
        <v/>
      </c>
      <c r="J135" s="2" t="str">
        <f>IF('01_Forms_Raw'!K135="","",VALUE('01_Forms_Raw'!K135))</f>
        <v/>
      </c>
      <c r="K135" s="2" t="str">
        <f>IF('01_Forms_Raw'!L135="","",'01_Forms_Raw'!L135)</f>
        <v/>
      </c>
      <c r="L135" s="2" t="str">
        <f>IF('01_Forms_Raw'!M135="","",'01_Forms_Raw'!M135)</f>
        <v/>
      </c>
      <c r="M135" s="10"/>
      <c r="N135" s="10"/>
      <c r="O135" s="10" t="str">
        <f t="shared" si="24"/>
        <v/>
      </c>
      <c r="P135" s="10" t="str">
        <f t="shared" si="25"/>
        <v/>
      </c>
      <c r="Q135" s="2" t="str">
        <f t="shared" si="26"/>
        <v/>
      </c>
      <c r="R135" s="2" t="str">
        <f t="shared" si="27"/>
        <v/>
      </c>
      <c r="S135" s="10" t="str">
        <f t="shared" si="28"/>
        <v/>
      </c>
      <c r="T135" s="10" t="str">
        <f t="shared" si="29"/>
        <v/>
      </c>
    </row>
    <row r="136" spans="1:20">
      <c r="A136" s="2" t="str">
        <f>IF('01_Forms_Raw'!A136="","",'01_Forms_Raw'!A136)</f>
        <v/>
      </c>
      <c r="B136" s="9" t="str">
        <f>IF('01_Forms_Raw'!B136="","",'01_Forms_Raw'!B136)</f>
        <v/>
      </c>
      <c r="C136" s="9" t="str">
        <f>IF('01_Forms_Raw'!H136="","",'01_Forms_Raw'!H136)</f>
        <v/>
      </c>
      <c r="D136" s="2" t="str">
        <f>IF('01_Forms_Raw'!D136="","",'01_Forms_Raw'!D136)</f>
        <v/>
      </c>
      <c r="E136" s="2" t="str">
        <f>IF('01_Forms_Raw'!E136="","",'01_Forms_Raw'!E136)</f>
        <v/>
      </c>
      <c r="F136" s="2" t="str">
        <f>IF('01_Forms_Raw'!F136="","",'01_Forms_Raw'!F136)</f>
        <v/>
      </c>
      <c r="G136" s="2" t="str">
        <f>IF('01_Forms_Raw'!G136="","",'01_Forms_Raw'!G136)</f>
        <v/>
      </c>
      <c r="H136" s="2" t="str">
        <f>IF('01_Forms_Raw'!I136="","",'01_Forms_Raw'!I136)</f>
        <v/>
      </c>
      <c r="I136" s="10" t="str">
        <f>IF('01_Forms_Raw'!J136="","",'01_Forms_Raw'!J136)</f>
        <v/>
      </c>
      <c r="J136" s="2" t="str">
        <f>IF('01_Forms_Raw'!K136="","",VALUE('01_Forms_Raw'!K136))</f>
        <v/>
      </c>
      <c r="K136" s="2" t="str">
        <f>IF('01_Forms_Raw'!L136="","",'01_Forms_Raw'!L136)</f>
        <v/>
      </c>
      <c r="L136" s="2" t="str">
        <f>IF('01_Forms_Raw'!M136="","",'01_Forms_Raw'!M136)</f>
        <v/>
      </c>
      <c r="M136" s="10"/>
      <c r="N136" s="10"/>
      <c r="O136" s="10" t="str">
        <f t="shared" si="24"/>
        <v/>
      </c>
      <c r="P136" s="10" t="str">
        <f t="shared" si="25"/>
        <v/>
      </c>
      <c r="Q136" s="2" t="str">
        <f t="shared" si="26"/>
        <v/>
      </c>
      <c r="R136" s="2" t="str">
        <f t="shared" si="27"/>
        <v/>
      </c>
      <c r="S136" s="10" t="str">
        <f t="shared" si="28"/>
        <v/>
      </c>
      <c r="T136" s="10" t="str">
        <f t="shared" si="29"/>
        <v/>
      </c>
    </row>
    <row r="137" spans="1:20">
      <c r="A137" s="2" t="str">
        <f>IF('01_Forms_Raw'!A137="","",'01_Forms_Raw'!A137)</f>
        <v/>
      </c>
      <c r="B137" s="9" t="str">
        <f>IF('01_Forms_Raw'!B137="","",'01_Forms_Raw'!B137)</f>
        <v/>
      </c>
      <c r="C137" s="9" t="str">
        <f>IF('01_Forms_Raw'!H137="","",'01_Forms_Raw'!H137)</f>
        <v/>
      </c>
      <c r="D137" s="2" t="str">
        <f>IF('01_Forms_Raw'!D137="","",'01_Forms_Raw'!D137)</f>
        <v/>
      </c>
      <c r="E137" s="2" t="str">
        <f>IF('01_Forms_Raw'!E137="","",'01_Forms_Raw'!E137)</f>
        <v/>
      </c>
      <c r="F137" s="2" t="str">
        <f>IF('01_Forms_Raw'!F137="","",'01_Forms_Raw'!F137)</f>
        <v/>
      </c>
      <c r="G137" s="2" t="str">
        <f>IF('01_Forms_Raw'!G137="","",'01_Forms_Raw'!G137)</f>
        <v/>
      </c>
      <c r="H137" s="2" t="str">
        <f>IF('01_Forms_Raw'!I137="","",'01_Forms_Raw'!I137)</f>
        <v/>
      </c>
      <c r="I137" s="10" t="str">
        <f>IF('01_Forms_Raw'!J137="","",'01_Forms_Raw'!J137)</f>
        <v/>
      </c>
      <c r="J137" s="2" t="str">
        <f>IF('01_Forms_Raw'!K137="","",VALUE('01_Forms_Raw'!K137))</f>
        <v/>
      </c>
      <c r="K137" s="2" t="str">
        <f>IF('01_Forms_Raw'!L137="","",'01_Forms_Raw'!L137)</f>
        <v/>
      </c>
      <c r="L137" s="2" t="str">
        <f>IF('01_Forms_Raw'!M137="","",'01_Forms_Raw'!M137)</f>
        <v/>
      </c>
      <c r="M137" s="10"/>
      <c r="N137" s="10"/>
      <c r="O137" s="10" t="str">
        <f t="shared" si="24"/>
        <v/>
      </c>
      <c r="P137" s="10" t="str">
        <f t="shared" si="25"/>
        <v/>
      </c>
      <c r="Q137" s="2" t="str">
        <f t="shared" si="26"/>
        <v/>
      </c>
      <c r="R137" s="2" t="str">
        <f t="shared" si="27"/>
        <v/>
      </c>
      <c r="S137" s="10" t="str">
        <f t="shared" si="28"/>
        <v/>
      </c>
      <c r="T137" s="10" t="str">
        <f t="shared" si="29"/>
        <v/>
      </c>
    </row>
    <row r="138" spans="1:20">
      <c r="A138" s="2" t="str">
        <f>IF('01_Forms_Raw'!A138="","",'01_Forms_Raw'!A138)</f>
        <v/>
      </c>
      <c r="B138" s="9" t="str">
        <f>IF('01_Forms_Raw'!B138="","",'01_Forms_Raw'!B138)</f>
        <v/>
      </c>
      <c r="C138" s="9" t="str">
        <f>IF('01_Forms_Raw'!H138="","",'01_Forms_Raw'!H138)</f>
        <v/>
      </c>
      <c r="D138" s="2" t="str">
        <f>IF('01_Forms_Raw'!D138="","",'01_Forms_Raw'!D138)</f>
        <v/>
      </c>
      <c r="E138" s="2" t="str">
        <f>IF('01_Forms_Raw'!E138="","",'01_Forms_Raw'!E138)</f>
        <v/>
      </c>
      <c r="F138" s="2" t="str">
        <f>IF('01_Forms_Raw'!F138="","",'01_Forms_Raw'!F138)</f>
        <v/>
      </c>
      <c r="G138" s="2" t="str">
        <f>IF('01_Forms_Raw'!G138="","",'01_Forms_Raw'!G138)</f>
        <v/>
      </c>
      <c r="H138" s="2" t="str">
        <f>IF('01_Forms_Raw'!I138="","",'01_Forms_Raw'!I138)</f>
        <v/>
      </c>
      <c r="I138" s="10" t="str">
        <f>IF('01_Forms_Raw'!J138="","",'01_Forms_Raw'!J138)</f>
        <v/>
      </c>
      <c r="J138" s="2" t="str">
        <f>IF('01_Forms_Raw'!K138="","",VALUE('01_Forms_Raw'!K138))</f>
        <v/>
      </c>
      <c r="K138" s="2" t="str">
        <f>IF('01_Forms_Raw'!L138="","",'01_Forms_Raw'!L138)</f>
        <v/>
      </c>
      <c r="L138" s="2" t="str">
        <f>IF('01_Forms_Raw'!M138="","",'01_Forms_Raw'!M138)</f>
        <v/>
      </c>
      <c r="M138" s="10"/>
      <c r="N138" s="10"/>
      <c r="O138" s="10" t="str">
        <f t="shared" si="24"/>
        <v/>
      </c>
      <c r="P138" s="10" t="str">
        <f t="shared" si="25"/>
        <v/>
      </c>
      <c r="Q138" s="2" t="str">
        <f t="shared" si="26"/>
        <v/>
      </c>
      <c r="R138" s="2" t="str">
        <f t="shared" si="27"/>
        <v/>
      </c>
      <c r="S138" s="10" t="str">
        <f t="shared" si="28"/>
        <v/>
      </c>
      <c r="T138" s="10" t="str">
        <f t="shared" si="29"/>
        <v/>
      </c>
    </row>
    <row r="139" spans="1:20">
      <c r="A139" s="2" t="str">
        <f>IF('01_Forms_Raw'!A139="","",'01_Forms_Raw'!A139)</f>
        <v/>
      </c>
      <c r="B139" s="9" t="str">
        <f>IF('01_Forms_Raw'!B139="","",'01_Forms_Raw'!B139)</f>
        <v/>
      </c>
      <c r="C139" s="9" t="str">
        <f>IF('01_Forms_Raw'!H139="","",'01_Forms_Raw'!H139)</f>
        <v/>
      </c>
      <c r="D139" s="2" t="str">
        <f>IF('01_Forms_Raw'!D139="","",'01_Forms_Raw'!D139)</f>
        <v/>
      </c>
      <c r="E139" s="2" t="str">
        <f>IF('01_Forms_Raw'!E139="","",'01_Forms_Raw'!E139)</f>
        <v/>
      </c>
      <c r="F139" s="2" t="str">
        <f>IF('01_Forms_Raw'!F139="","",'01_Forms_Raw'!F139)</f>
        <v/>
      </c>
      <c r="G139" s="2" t="str">
        <f>IF('01_Forms_Raw'!G139="","",'01_Forms_Raw'!G139)</f>
        <v/>
      </c>
      <c r="H139" s="2" t="str">
        <f>IF('01_Forms_Raw'!I139="","",'01_Forms_Raw'!I139)</f>
        <v/>
      </c>
      <c r="I139" s="10" t="str">
        <f>IF('01_Forms_Raw'!J139="","",'01_Forms_Raw'!J139)</f>
        <v/>
      </c>
      <c r="J139" s="2" t="str">
        <f>IF('01_Forms_Raw'!K139="","",VALUE('01_Forms_Raw'!K139))</f>
        <v/>
      </c>
      <c r="K139" s="2" t="str">
        <f>IF('01_Forms_Raw'!L139="","",'01_Forms_Raw'!L139)</f>
        <v/>
      </c>
      <c r="L139" s="2" t="str">
        <f>IF('01_Forms_Raw'!M139="","",'01_Forms_Raw'!M139)</f>
        <v/>
      </c>
      <c r="M139" s="10"/>
      <c r="N139" s="10"/>
      <c r="O139" s="10" t="str">
        <f t="shared" si="24"/>
        <v/>
      </c>
      <c r="P139" s="10" t="str">
        <f t="shared" si="25"/>
        <v/>
      </c>
      <c r="Q139" s="2" t="str">
        <f t="shared" si="26"/>
        <v/>
      </c>
      <c r="R139" s="2" t="str">
        <f t="shared" si="27"/>
        <v/>
      </c>
      <c r="S139" s="10" t="str">
        <f t="shared" si="28"/>
        <v/>
      </c>
      <c r="T139" s="10" t="str">
        <f t="shared" si="29"/>
        <v/>
      </c>
    </row>
    <row r="140" spans="1:20">
      <c r="A140" s="2" t="str">
        <f>IF('01_Forms_Raw'!A140="","",'01_Forms_Raw'!A140)</f>
        <v/>
      </c>
      <c r="B140" s="9" t="str">
        <f>IF('01_Forms_Raw'!B140="","",'01_Forms_Raw'!B140)</f>
        <v/>
      </c>
      <c r="C140" s="9" t="str">
        <f>IF('01_Forms_Raw'!H140="","",'01_Forms_Raw'!H140)</f>
        <v/>
      </c>
      <c r="D140" s="2" t="str">
        <f>IF('01_Forms_Raw'!D140="","",'01_Forms_Raw'!D140)</f>
        <v/>
      </c>
      <c r="E140" s="2" t="str">
        <f>IF('01_Forms_Raw'!E140="","",'01_Forms_Raw'!E140)</f>
        <v/>
      </c>
      <c r="F140" s="2" t="str">
        <f>IF('01_Forms_Raw'!F140="","",'01_Forms_Raw'!F140)</f>
        <v/>
      </c>
      <c r="G140" s="2" t="str">
        <f>IF('01_Forms_Raw'!G140="","",'01_Forms_Raw'!G140)</f>
        <v/>
      </c>
      <c r="H140" s="2" t="str">
        <f>IF('01_Forms_Raw'!I140="","",'01_Forms_Raw'!I140)</f>
        <v/>
      </c>
      <c r="I140" s="10" t="str">
        <f>IF('01_Forms_Raw'!J140="","",'01_Forms_Raw'!J140)</f>
        <v/>
      </c>
      <c r="J140" s="2" t="str">
        <f>IF('01_Forms_Raw'!K140="","",VALUE('01_Forms_Raw'!K140))</f>
        <v/>
      </c>
      <c r="K140" s="2" t="str">
        <f>IF('01_Forms_Raw'!L140="","",'01_Forms_Raw'!L140)</f>
        <v/>
      </c>
      <c r="L140" s="2" t="str">
        <f>IF('01_Forms_Raw'!M140="","",'01_Forms_Raw'!M140)</f>
        <v/>
      </c>
      <c r="M140" s="10"/>
      <c r="N140" s="10"/>
      <c r="O140" s="10" t="str">
        <f t="shared" si="24"/>
        <v/>
      </c>
      <c r="P140" s="10" t="str">
        <f t="shared" si="25"/>
        <v/>
      </c>
      <c r="Q140" s="2" t="str">
        <f t="shared" si="26"/>
        <v/>
      </c>
      <c r="R140" s="2" t="str">
        <f t="shared" si="27"/>
        <v/>
      </c>
      <c r="S140" s="10" t="str">
        <f t="shared" si="28"/>
        <v/>
      </c>
      <c r="T140" s="10" t="str">
        <f t="shared" si="29"/>
        <v/>
      </c>
    </row>
    <row r="141" spans="1:20">
      <c r="A141" s="2" t="str">
        <f>IF('01_Forms_Raw'!A141="","",'01_Forms_Raw'!A141)</f>
        <v/>
      </c>
      <c r="B141" s="9" t="str">
        <f>IF('01_Forms_Raw'!B141="","",'01_Forms_Raw'!B141)</f>
        <v/>
      </c>
      <c r="C141" s="9" t="str">
        <f>IF('01_Forms_Raw'!H141="","",'01_Forms_Raw'!H141)</f>
        <v/>
      </c>
      <c r="D141" s="2" t="str">
        <f>IF('01_Forms_Raw'!D141="","",'01_Forms_Raw'!D141)</f>
        <v/>
      </c>
      <c r="E141" s="2" t="str">
        <f>IF('01_Forms_Raw'!E141="","",'01_Forms_Raw'!E141)</f>
        <v/>
      </c>
      <c r="F141" s="2" t="str">
        <f>IF('01_Forms_Raw'!F141="","",'01_Forms_Raw'!F141)</f>
        <v/>
      </c>
      <c r="G141" s="2" t="str">
        <f>IF('01_Forms_Raw'!G141="","",'01_Forms_Raw'!G141)</f>
        <v/>
      </c>
      <c r="H141" s="2" t="str">
        <f>IF('01_Forms_Raw'!I141="","",'01_Forms_Raw'!I141)</f>
        <v/>
      </c>
      <c r="I141" s="10" t="str">
        <f>IF('01_Forms_Raw'!J141="","",'01_Forms_Raw'!J141)</f>
        <v/>
      </c>
      <c r="J141" s="2" t="str">
        <f>IF('01_Forms_Raw'!K141="","",VALUE('01_Forms_Raw'!K141))</f>
        <v/>
      </c>
      <c r="K141" s="2" t="str">
        <f>IF('01_Forms_Raw'!L141="","",'01_Forms_Raw'!L141)</f>
        <v/>
      </c>
      <c r="L141" s="2" t="str">
        <f>IF('01_Forms_Raw'!M141="","",'01_Forms_Raw'!M141)</f>
        <v/>
      </c>
      <c r="M141" s="10"/>
      <c r="N141" s="10"/>
      <c r="O141" s="10" t="str">
        <f t="shared" si="24"/>
        <v/>
      </c>
      <c r="P141" s="10" t="str">
        <f t="shared" si="25"/>
        <v/>
      </c>
      <c r="Q141" s="2" t="str">
        <f t="shared" si="26"/>
        <v/>
      </c>
      <c r="R141" s="2" t="str">
        <f t="shared" si="27"/>
        <v/>
      </c>
      <c r="S141" s="10" t="str">
        <f t="shared" si="28"/>
        <v/>
      </c>
      <c r="T141" s="10" t="str">
        <f t="shared" si="29"/>
        <v/>
      </c>
    </row>
    <row r="142" spans="1:20">
      <c r="A142" s="2" t="str">
        <f>IF('01_Forms_Raw'!A142="","",'01_Forms_Raw'!A142)</f>
        <v/>
      </c>
      <c r="B142" s="9" t="str">
        <f>IF('01_Forms_Raw'!B142="","",'01_Forms_Raw'!B142)</f>
        <v/>
      </c>
      <c r="C142" s="9" t="str">
        <f>IF('01_Forms_Raw'!H142="","",'01_Forms_Raw'!H142)</f>
        <v/>
      </c>
      <c r="D142" s="2" t="str">
        <f>IF('01_Forms_Raw'!D142="","",'01_Forms_Raw'!D142)</f>
        <v/>
      </c>
      <c r="E142" s="2" t="str">
        <f>IF('01_Forms_Raw'!E142="","",'01_Forms_Raw'!E142)</f>
        <v/>
      </c>
      <c r="F142" s="2" t="str">
        <f>IF('01_Forms_Raw'!F142="","",'01_Forms_Raw'!F142)</f>
        <v/>
      </c>
      <c r="G142" s="2" t="str">
        <f>IF('01_Forms_Raw'!G142="","",'01_Forms_Raw'!G142)</f>
        <v/>
      </c>
      <c r="H142" s="2" t="str">
        <f>IF('01_Forms_Raw'!I142="","",'01_Forms_Raw'!I142)</f>
        <v/>
      </c>
      <c r="I142" s="10" t="str">
        <f>IF('01_Forms_Raw'!J142="","",'01_Forms_Raw'!J142)</f>
        <v/>
      </c>
      <c r="J142" s="2" t="str">
        <f>IF('01_Forms_Raw'!K142="","",VALUE('01_Forms_Raw'!K142))</f>
        <v/>
      </c>
      <c r="K142" s="2" t="str">
        <f>IF('01_Forms_Raw'!L142="","",'01_Forms_Raw'!L142)</f>
        <v/>
      </c>
      <c r="L142" s="2" t="str">
        <f>IF('01_Forms_Raw'!M142="","",'01_Forms_Raw'!M142)</f>
        <v/>
      </c>
      <c r="M142" s="10"/>
      <c r="N142" s="10"/>
      <c r="O142" s="10" t="str">
        <f t="shared" si="24"/>
        <v/>
      </c>
      <c r="P142" s="10" t="str">
        <f t="shared" si="25"/>
        <v/>
      </c>
      <c r="Q142" s="2" t="str">
        <f t="shared" si="26"/>
        <v/>
      </c>
      <c r="R142" s="2" t="str">
        <f t="shared" si="27"/>
        <v/>
      </c>
      <c r="S142" s="10" t="str">
        <f t="shared" si="28"/>
        <v/>
      </c>
      <c r="T142" s="10" t="str">
        <f t="shared" si="29"/>
        <v/>
      </c>
    </row>
    <row r="143" spans="1:20">
      <c r="A143" s="2" t="str">
        <f>IF('01_Forms_Raw'!A143="","",'01_Forms_Raw'!A143)</f>
        <v/>
      </c>
      <c r="B143" s="9" t="str">
        <f>IF('01_Forms_Raw'!B143="","",'01_Forms_Raw'!B143)</f>
        <v/>
      </c>
      <c r="C143" s="9" t="str">
        <f>IF('01_Forms_Raw'!H143="","",'01_Forms_Raw'!H143)</f>
        <v/>
      </c>
      <c r="D143" s="2" t="str">
        <f>IF('01_Forms_Raw'!D143="","",'01_Forms_Raw'!D143)</f>
        <v/>
      </c>
      <c r="E143" s="2" t="str">
        <f>IF('01_Forms_Raw'!E143="","",'01_Forms_Raw'!E143)</f>
        <v/>
      </c>
      <c r="F143" s="2" t="str">
        <f>IF('01_Forms_Raw'!F143="","",'01_Forms_Raw'!F143)</f>
        <v/>
      </c>
      <c r="G143" s="2" t="str">
        <f>IF('01_Forms_Raw'!G143="","",'01_Forms_Raw'!G143)</f>
        <v/>
      </c>
      <c r="H143" s="2" t="str">
        <f>IF('01_Forms_Raw'!I143="","",'01_Forms_Raw'!I143)</f>
        <v/>
      </c>
      <c r="I143" s="10" t="str">
        <f>IF('01_Forms_Raw'!J143="","",'01_Forms_Raw'!J143)</f>
        <v/>
      </c>
      <c r="J143" s="2" t="str">
        <f>IF('01_Forms_Raw'!K143="","",VALUE('01_Forms_Raw'!K143))</f>
        <v/>
      </c>
      <c r="K143" s="2" t="str">
        <f>IF('01_Forms_Raw'!L143="","",'01_Forms_Raw'!L143)</f>
        <v/>
      </c>
      <c r="L143" s="2" t="str">
        <f>IF('01_Forms_Raw'!M143="","",'01_Forms_Raw'!M143)</f>
        <v/>
      </c>
      <c r="M143" s="10"/>
      <c r="N143" s="10"/>
      <c r="O143" s="10" t="str">
        <f t="shared" si="24"/>
        <v/>
      </c>
      <c r="P143" s="10" t="str">
        <f t="shared" si="25"/>
        <v/>
      </c>
      <c r="Q143" s="2" t="str">
        <f t="shared" si="26"/>
        <v/>
      </c>
      <c r="R143" s="2" t="str">
        <f t="shared" si="27"/>
        <v/>
      </c>
      <c r="S143" s="10" t="str">
        <f t="shared" si="28"/>
        <v/>
      </c>
      <c r="T143" s="10" t="str">
        <f t="shared" si="29"/>
        <v/>
      </c>
    </row>
    <row r="144" spans="1:20">
      <c r="A144" s="2" t="str">
        <f>IF('01_Forms_Raw'!A144="","",'01_Forms_Raw'!A144)</f>
        <v/>
      </c>
      <c r="B144" s="9" t="str">
        <f>IF('01_Forms_Raw'!B144="","",'01_Forms_Raw'!B144)</f>
        <v/>
      </c>
      <c r="C144" s="9" t="str">
        <f>IF('01_Forms_Raw'!H144="","",'01_Forms_Raw'!H144)</f>
        <v/>
      </c>
      <c r="D144" s="2" t="str">
        <f>IF('01_Forms_Raw'!D144="","",'01_Forms_Raw'!D144)</f>
        <v/>
      </c>
      <c r="E144" s="2" t="str">
        <f>IF('01_Forms_Raw'!E144="","",'01_Forms_Raw'!E144)</f>
        <v/>
      </c>
      <c r="F144" s="2" t="str">
        <f>IF('01_Forms_Raw'!F144="","",'01_Forms_Raw'!F144)</f>
        <v/>
      </c>
      <c r="G144" s="2" t="str">
        <f>IF('01_Forms_Raw'!G144="","",'01_Forms_Raw'!G144)</f>
        <v/>
      </c>
      <c r="H144" s="2" t="str">
        <f>IF('01_Forms_Raw'!I144="","",'01_Forms_Raw'!I144)</f>
        <v/>
      </c>
      <c r="I144" s="10" t="str">
        <f>IF('01_Forms_Raw'!J144="","",'01_Forms_Raw'!J144)</f>
        <v/>
      </c>
      <c r="J144" s="2" t="str">
        <f>IF('01_Forms_Raw'!K144="","",VALUE('01_Forms_Raw'!K144))</f>
        <v/>
      </c>
      <c r="K144" s="2" t="str">
        <f>IF('01_Forms_Raw'!L144="","",'01_Forms_Raw'!L144)</f>
        <v/>
      </c>
      <c r="L144" s="2" t="str">
        <f>IF('01_Forms_Raw'!M144="","",'01_Forms_Raw'!M144)</f>
        <v/>
      </c>
      <c r="M144" s="10"/>
      <c r="N144" s="10"/>
      <c r="O144" s="10" t="str">
        <f t="shared" si="24"/>
        <v/>
      </c>
      <c r="P144" s="10" t="str">
        <f t="shared" si="25"/>
        <v/>
      </c>
      <c r="Q144" s="2" t="str">
        <f t="shared" si="26"/>
        <v/>
      </c>
      <c r="R144" s="2" t="str">
        <f t="shared" si="27"/>
        <v/>
      </c>
      <c r="S144" s="10" t="str">
        <f t="shared" si="28"/>
        <v/>
      </c>
      <c r="T144" s="10" t="str">
        <f t="shared" si="29"/>
        <v/>
      </c>
    </row>
    <row r="145" spans="1:20">
      <c r="A145" s="2" t="str">
        <f>IF('01_Forms_Raw'!A145="","",'01_Forms_Raw'!A145)</f>
        <v/>
      </c>
      <c r="B145" s="9" t="str">
        <f>IF('01_Forms_Raw'!B145="","",'01_Forms_Raw'!B145)</f>
        <v/>
      </c>
      <c r="C145" s="9" t="str">
        <f>IF('01_Forms_Raw'!H145="","",'01_Forms_Raw'!H145)</f>
        <v/>
      </c>
      <c r="D145" s="2" t="str">
        <f>IF('01_Forms_Raw'!D145="","",'01_Forms_Raw'!D145)</f>
        <v/>
      </c>
      <c r="E145" s="2" t="str">
        <f>IF('01_Forms_Raw'!E145="","",'01_Forms_Raw'!E145)</f>
        <v/>
      </c>
      <c r="F145" s="2" t="str">
        <f>IF('01_Forms_Raw'!F145="","",'01_Forms_Raw'!F145)</f>
        <v/>
      </c>
      <c r="G145" s="2" t="str">
        <f>IF('01_Forms_Raw'!G145="","",'01_Forms_Raw'!G145)</f>
        <v/>
      </c>
      <c r="H145" s="2" t="str">
        <f>IF('01_Forms_Raw'!I145="","",'01_Forms_Raw'!I145)</f>
        <v/>
      </c>
      <c r="I145" s="10" t="str">
        <f>IF('01_Forms_Raw'!J145="","",'01_Forms_Raw'!J145)</f>
        <v/>
      </c>
      <c r="J145" s="2" t="str">
        <f>IF('01_Forms_Raw'!K145="","",VALUE('01_Forms_Raw'!K145))</f>
        <v/>
      </c>
      <c r="K145" s="2" t="str">
        <f>IF('01_Forms_Raw'!L145="","",'01_Forms_Raw'!L145)</f>
        <v/>
      </c>
      <c r="L145" s="2" t="str">
        <f>IF('01_Forms_Raw'!M145="","",'01_Forms_Raw'!M145)</f>
        <v/>
      </c>
      <c r="M145" s="10"/>
      <c r="N145" s="10"/>
      <c r="O145" s="10" t="str">
        <f t="shared" si="24"/>
        <v/>
      </c>
      <c r="P145" s="10" t="str">
        <f t="shared" si="25"/>
        <v/>
      </c>
      <c r="Q145" s="2" t="str">
        <f t="shared" si="26"/>
        <v/>
      </c>
      <c r="R145" s="2" t="str">
        <f t="shared" si="27"/>
        <v/>
      </c>
      <c r="S145" s="10" t="str">
        <f t="shared" si="28"/>
        <v/>
      </c>
      <c r="T145" s="10" t="str">
        <f t="shared" si="29"/>
        <v/>
      </c>
    </row>
    <row r="146" spans="1:20">
      <c r="A146" s="2" t="str">
        <f>IF('01_Forms_Raw'!A146="","",'01_Forms_Raw'!A146)</f>
        <v/>
      </c>
      <c r="B146" s="9" t="str">
        <f>IF('01_Forms_Raw'!B146="","",'01_Forms_Raw'!B146)</f>
        <v/>
      </c>
      <c r="C146" s="9" t="str">
        <f>IF('01_Forms_Raw'!H146="","",'01_Forms_Raw'!H146)</f>
        <v/>
      </c>
      <c r="D146" s="2" t="str">
        <f>IF('01_Forms_Raw'!D146="","",'01_Forms_Raw'!D146)</f>
        <v/>
      </c>
      <c r="E146" s="2" t="str">
        <f>IF('01_Forms_Raw'!E146="","",'01_Forms_Raw'!E146)</f>
        <v/>
      </c>
      <c r="F146" s="2" t="str">
        <f>IF('01_Forms_Raw'!F146="","",'01_Forms_Raw'!F146)</f>
        <v/>
      </c>
      <c r="G146" s="2" t="str">
        <f>IF('01_Forms_Raw'!G146="","",'01_Forms_Raw'!G146)</f>
        <v/>
      </c>
      <c r="H146" s="2" t="str">
        <f>IF('01_Forms_Raw'!I146="","",'01_Forms_Raw'!I146)</f>
        <v/>
      </c>
      <c r="I146" s="10" t="str">
        <f>IF('01_Forms_Raw'!J146="","",'01_Forms_Raw'!J146)</f>
        <v/>
      </c>
      <c r="J146" s="2" t="str">
        <f>IF('01_Forms_Raw'!K146="","",VALUE('01_Forms_Raw'!K146))</f>
        <v/>
      </c>
      <c r="K146" s="2" t="str">
        <f>IF('01_Forms_Raw'!L146="","",'01_Forms_Raw'!L146)</f>
        <v/>
      </c>
      <c r="L146" s="2" t="str">
        <f>IF('01_Forms_Raw'!M146="","",'01_Forms_Raw'!M146)</f>
        <v/>
      </c>
      <c r="M146" s="10"/>
      <c r="N146" s="10"/>
      <c r="O146" s="10" t="str">
        <f t="shared" si="24"/>
        <v/>
      </c>
      <c r="P146" s="10" t="str">
        <f t="shared" si="25"/>
        <v/>
      </c>
      <c r="Q146" s="2" t="str">
        <f t="shared" si="26"/>
        <v/>
      </c>
      <c r="R146" s="2" t="str">
        <f t="shared" si="27"/>
        <v/>
      </c>
      <c r="S146" s="10" t="str">
        <f t="shared" si="28"/>
        <v/>
      </c>
      <c r="T146" s="10" t="str">
        <f t="shared" si="29"/>
        <v/>
      </c>
    </row>
    <row r="147" spans="1:20">
      <c r="A147" s="2" t="str">
        <f>IF('01_Forms_Raw'!A147="","",'01_Forms_Raw'!A147)</f>
        <v/>
      </c>
      <c r="B147" s="9" t="str">
        <f>IF('01_Forms_Raw'!B147="","",'01_Forms_Raw'!B147)</f>
        <v/>
      </c>
      <c r="C147" s="9" t="str">
        <f>IF('01_Forms_Raw'!H147="","",'01_Forms_Raw'!H147)</f>
        <v/>
      </c>
      <c r="D147" s="2" t="str">
        <f>IF('01_Forms_Raw'!D147="","",'01_Forms_Raw'!D147)</f>
        <v/>
      </c>
      <c r="E147" s="2" t="str">
        <f>IF('01_Forms_Raw'!E147="","",'01_Forms_Raw'!E147)</f>
        <v/>
      </c>
      <c r="F147" s="2" t="str">
        <f>IF('01_Forms_Raw'!F147="","",'01_Forms_Raw'!F147)</f>
        <v/>
      </c>
      <c r="G147" s="2" t="str">
        <f>IF('01_Forms_Raw'!G147="","",'01_Forms_Raw'!G147)</f>
        <v/>
      </c>
      <c r="H147" s="2" t="str">
        <f>IF('01_Forms_Raw'!I147="","",'01_Forms_Raw'!I147)</f>
        <v/>
      </c>
      <c r="I147" s="10" t="str">
        <f>IF('01_Forms_Raw'!J147="","",'01_Forms_Raw'!J147)</f>
        <v/>
      </c>
      <c r="J147" s="2" t="str">
        <f>IF('01_Forms_Raw'!K147="","",VALUE('01_Forms_Raw'!K147))</f>
        <v/>
      </c>
      <c r="K147" s="2" t="str">
        <f>IF('01_Forms_Raw'!L147="","",'01_Forms_Raw'!L147)</f>
        <v/>
      </c>
      <c r="L147" s="2" t="str">
        <f>IF('01_Forms_Raw'!M147="","",'01_Forms_Raw'!M147)</f>
        <v/>
      </c>
      <c r="M147" s="10"/>
      <c r="N147" s="10"/>
      <c r="O147" s="10" t="str">
        <f t="shared" si="24"/>
        <v/>
      </c>
      <c r="P147" s="10" t="str">
        <f t="shared" si="25"/>
        <v/>
      </c>
      <c r="Q147" s="2" t="str">
        <f t="shared" si="26"/>
        <v/>
      </c>
      <c r="R147" s="2" t="str">
        <f t="shared" si="27"/>
        <v/>
      </c>
      <c r="S147" s="10" t="str">
        <f t="shared" si="28"/>
        <v/>
      </c>
      <c r="T147" s="10" t="str">
        <f t="shared" si="29"/>
        <v/>
      </c>
    </row>
    <row r="148" spans="1:20">
      <c r="A148" s="2" t="str">
        <f>IF('01_Forms_Raw'!A148="","",'01_Forms_Raw'!A148)</f>
        <v/>
      </c>
      <c r="B148" s="9" t="str">
        <f>IF('01_Forms_Raw'!B148="","",'01_Forms_Raw'!B148)</f>
        <v/>
      </c>
      <c r="C148" s="9" t="str">
        <f>IF('01_Forms_Raw'!H148="","",'01_Forms_Raw'!H148)</f>
        <v/>
      </c>
      <c r="D148" s="2" t="str">
        <f>IF('01_Forms_Raw'!D148="","",'01_Forms_Raw'!D148)</f>
        <v/>
      </c>
      <c r="E148" s="2" t="str">
        <f>IF('01_Forms_Raw'!E148="","",'01_Forms_Raw'!E148)</f>
        <v/>
      </c>
      <c r="F148" s="2" t="str">
        <f>IF('01_Forms_Raw'!F148="","",'01_Forms_Raw'!F148)</f>
        <v/>
      </c>
      <c r="G148" s="2" t="str">
        <f>IF('01_Forms_Raw'!G148="","",'01_Forms_Raw'!G148)</f>
        <v/>
      </c>
      <c r="H148" s="2" t="str">
        <f>IF('01_Forms_Raw'!I148="","",'01_Forms_Raw'!I148)</f>
        <v/>
      </c>
      <c r="I148" s="10" t="str">
        <f>IF('01_Forms_Raw'!J148="","",'01_Forms_Raw'!J148)</f>
        <v/>
      </c>
      <c r="J148" s="2" t="str">
        <f>IF('01_Forms_Raw'!K148="","",VALUE('01_Forms_Raw'!K148))</f>
        <v/>
      </c>
      <c r="K148" s="2" t="str">
        <f>IF('01_Forms_Raw'!L148="","",'01_Forms_Raw'!L148)</f>
        <v/>
      </c>
      <c r="L148" s="2" t="str">
        <f>IF('01_Forms_Raw'!M148="","",'01_Forms_Raw'!M148)</f>
        <v/>
      </c>
      <c r="M148" s="10"/>
      <c r="N148" s="10"/>
      <c r="O148" s="10" t="str">
        <f t="shared" si="24"/>
        <v/>
      </c>
      <c r="P148" s="10" t="str">
        <f t="shared" si="25"/>
        <v/>
      </c>
      <c r="Q148" s="2" t="str">
        <f t="shared" si="26"/>
        <v/>
      </c>
      <c r="R148" s="2" t="str">
        <f t="shared" si="27"/>
        <v/>
      </c>
      <c r="S148" s="10" t="str">
        <f t="shared" si="28"/>
        <v/>
      </c>
      <c r="T148" s="10" t="str">
        <f t="shared" si="29"/>
        <v/>
      </c>
    </row>
    <row r="149" spans="1:20">
      <c r="A149" s="2" t="str">
        <f>IF('01_Forms_Raw'!A149="","",'01_Forms_Raw'!A149)</f>
        <v/>
      </c>
      <c r="B149" s="9" t="str">
        <f>IF('01_Forms_Raw'!B149="","",'01_Forms_Raw'!B149)</f>
        <v/>
      </c>
      <c r="C149" s="9" t="str">
        <f>IF('01_Forms_Raw'!H149="","",'01_Forms_Raw'!H149)</f>
        <v/>
      </c>
      <c r="D149" s="2" t="str">
        <f>IF('01_Forms_Raw'!D149="","",'01_Forms_Raw'!D149)</f>
        <v/>
      </c>
      <c r="E149" s="2" t="str">
        <f>IF('01_Forms_Raw'!E149="","",'01_Forms_Raw'!E149)</f>
        <v/>
      </c>
      <c r="F149" s="2" t="str">
        <f>IF('01_Forms_Raw'!F149="","",'01_Forms_Raw'!F149)</f>
        <v/>
      </c>
      <c r="G149" s="2" t="str">
        <f>IF('01_Forms_Raw'!G149="","",'01_Forms_Raw'!G149)</f>
        <v/>
      </c>
      <c r="H149" s="2" t="str">
        <f>IF('01_Forms_Raw'!I149="","",'01_Forms_Raw'!I149)</f>
        <v/>
      </c>
      <c r="I149" s="10" t="str">
        <f>IF('01_Forms_Raw'!J149="","",'01_Forms_Raw'!J149)</f>
        <v/>
      </c>
      <c r="J149" s="2" t="str">
        <f>IF('01_Forms_Raw'!K149="","",VALUE('01_Forms_Raw'!K149))</f>
        <v/>
      </c>
      <c r="K149" s="2" t="str">
        <f>IF('01_Forms_Raw'!L149="","",'01_Forms_Raw'!L149)</f>
        <v/>
      </c>
      <c r="L149" s="2" t="str">
        <f>IF('01_Forms_Raw'!M149="","",'01_Forms_Raw'!M149)</f>
        <v/>
      </c>
      <c r="M149" s="10"/>
      <c r="N149" s="10"/>
      <c r="O149" s="10" t="str">
        <f t="shared" si="24"/>
        <v/>
      </c>
      <c r="P149" s="10" t="str">
        <f t="shared" si="25"/>
        <v/>
      </c>
      <c r="Q149" s="2" t="str">
        <f t="shared" si="26"/>
        <v/>
      </c>
      <c r="R149" s="2" t="str">
        <f t="shared" si="27"/>
        <v/>
      </c>
      <c r="S149" s="10" t="str">
        <f t="shared" si="28"/>
        <v/>
      </c>
      <c r="T149" s="10" t="str">
        <f t="shared" si="29"/>
        <v/>
      </c>
    </row>
    <row r="150" spans="1:20">
      <c r="A150" s="2" t="str">
        <f>IF('01_Forms_Raw'!A150="","",'01_Forms_Raw'!A150)</f>
        <v/>
      </c>
      <c r="B150" s="9" t="str">
        <f>IF('01_Forms_Raw'!B150="","",'01_Forms_Raw'!B150)</f>
        <v/>
      </c>
      <c r="C150" s="9" t="str">
        <f>IF('01_Forms_Raw'!H150="","",'01_Forms_Raw'!H150)</f>
        <v/>
      </c>
      <c r="D150" s="2" t="str">
        <f>IF('01_Forms_Raw'!D150="","",'01_Forms_Raw'!D150)</f>
        <v/>
      </c>
      <c r="E150" s="2" t="str">
        <f>IF('01_Forms_Raw'!E150="","",'01_Forms_Raw'!E150)</f>
        <v/>
      </c>
      <c r="F150" s="2" t="str">
        <f>IF('01_Forms_Raw'!F150="","",'01_Forms_Raw'!F150)</f>
        <v/>
      </c>
      <c r="G150" s="2" t="str">
        <f>IF('01_Forms_Raw'!G150="","",'01_Forms_Raw'!G150)</f>
        <v/>
      </c>
      <c r="H150" s="2" t="str">
        <f>IF('01_Forms_Raw'!I150="","",'01_Forms_Raw'!I150)</f>
        <v/>
      </c>
      <c r="I150" s="10" t="str">
        <f>IF('01_Forms_Raw'!J150="","",'01_Forms_Raw'!J150)</f>
        <v/>
      </c>
      <c r="J150" s="2" t="str">
        <f>IF('01_Forms_Raw'!K150="","",VALUE('01_Forms_Raw'!K150))</f>
        <v/>
      </c>
      <c r="K150" s="2" t="str">
        <f>IF('01_Forms_Raw'!L150="","",'01_Forms_Raw'!L150)</f>
        <v/>
      </c>
      <c r="L150" s="2" t="str">
        <f>IF('01_Forms_Raw'!M150="","",'01_Forms_Raw'!M150)</f>
        <v/>
      </c>
      <c r="M150" s="10"/>
      <c r="N150" s="10"/>
      <c r="O150" s="10" t="str">
        <f t="shared" si="24"/>
        <v/>
      </c>
      <c r="P150" s="10" t="str">
        <f t="shared" si="25"/>
        <v/>
      </c>
      <c r="Q150" s="2" t="str">
        <f t="shared" si="26"/>
        <v/>
      </c>
      <c r="R150" s="2" t="str">
        <f t="shared" si="27"/>
        <v/>
      </c>
      <c r="S150" s="10" t="str">
        <f t="shared" si="28"/>
        <v/>
      </c>
      <c r="T150" s="10" t="str">
        <f t="shared" si="29"/>
        <v/>
      </c>
    </row>
    <row r="151" spans="1:20">
      <c r="A151" s="2" t="str">
        <f>IF('01_Forms_Raw'!A151="","",'01_Forms_Raw'!A151)</f>
        <v/>
      </c>
      <c r="B151" s="9" t="str">
        <f>IF('01_Forms_Raw'!B151="","",'01_Forms_Raw'!B151)</f>
        <v/>
      </c>
      <c r="C151" s="9" t="str">
        <f>IF('01_Forms_Raw'!H151="","",'01_Forms_Raw'!H151)</f>
        <v/>
      </c>
      <c r="D151" s="2" t="str">
        <f>IF('01_Forms_Raw'!D151="","",'01_Forms_Raw'!D151)</f>
        <v/>
      </c>
      <c r="E151" s="2" t="str">
        <f>IF('01_Forms_Raw'!E151="","",'01_Forms_Raw'!E151)</f>
        <v/>
      </c>
      <c r="F151" s="2" t="str">
        <f>IF('01_Forms_Raw'!F151="","",'01_Forms_Raw'!F151)</f>
        <v/>
      </c>
      <c r="G151" s="2" t="str">
        <f>IF('01_Forms_Raw'!G151="","",'01_Forms_Raw'!G151)</f>
        <v/>
      </c>
      <c r="H151" s="2" t="str">
        <f>IF('01_Forms_Raw'!I151="","",'01_Forms_Raw'!I151)</f>
        <v/>
      </c>
      <c r="I151" s="10" t="str">
        <f>IF('01_Forms_Raw'!J151="","",'01_Forms_Raw'!J151)</f>
        <v/>
      </c>
      <c r="J151" s="2" t="str">
        <f>IF('01_Forms_Raw'!K151="","",VALUE('01_Forms_Raw'!K151))</f>
        <v/>
      </c>
      <c r="K151" s="2" t="str">
        <f>IF('01_Forms_Raw'!L151="","",'01_Forms_Raw'!L151)</f>
        <v/>
      </c>
      <c r="L151" s="2" t="str">
        <f>IF('01_Forms_Raw'!M151="","",'01_Forms_Raw'!M151)</f>
        <v/>
      </c>
      <c r="M151" s="10"/>
      <c r="N151" s="10"/>
      <c r="O151" s="10" t="str">
        <f t="shared" si="24"/>
        <v/>
      </c>
      <c r="P151" s="10" t="str">
        <f t="shared" si="25"/>
        <v/>
      </c>
      <c r="Q151" s="2" t="str">
        <f t="shared" si="26"/>
        <v/>
      </c>
      <c r="R151" s="2" t="str">
        <f t="shared" si="27"/>
        <v/>
      </c>
      <c r="S151" s="10" t="str">
        <f t="shared" si="28"/>
        <v/>
      </c>
      <c r="T151" s="10" t="str">
        <f t="shared" si="29"/>
        <v/>
      </c>
    </row>
    <row r="152" spans="1:20">
      <c r="A152" s="2" t="str">
        <f>IF('01_Forms_Raw'!A152="","",'01_Forms_Raw'!A152)</f>
        <v/>
      </c>
      <c r="B152" s="9" t="str">
        <f>IF('01_Forms_Raw'!B152="","",'01_Forms_Raw'!B152)</f>
        <v/>
      </c>
      <c r="C152" s="9" t="str">
        <f>IF('01_Forms_Raw'!H152="","",'01_Forms_Raw'!H152)</f>
        <v/>
      </c>
      <c r="D152" s="2" t="str">
        <f>IF('01_Forms_Raw'!D152="","",'01_Forms_Raw'!D152)</f>
        <v/>
      </c>
      <c r="E152" s="2" t="str">
        <f>IF('01_Forms_Raw'!E152="","",'01_Forms_Raw'!E152)</f>
        <v/>
      </c>
      <c r="F152" s="2" t="str">
        <f>IF('01_Forms_Raw'!F152="","",'01_Forms_Raw'!F152)</f>
        <v/>
      </c>
      <c r="G152" s="2" t="str">
        <f>IF('01_Forms_Raw'!G152="","",'01_Forms_Raw'!G152)</f>
        <v/>
      </c>
      <c r="H152" s="2" t="str">
        <f>IF('01_Forms_Raw'!I152="","",'01_Forms_Raw'!I152)</f>
        <v/>
      </c>
      <c r="I152" s="10" t="str">
        <f>IF('01_Forms_Raw'!J152="","",'01_Forms_Raw'!J152)</f>
        <v/>
      </c>
      <c r="J152" s="2" t="str">
        <f>IF('01_Forms_Raw'!K152="","",VALUE('01_Forms_Raw'!K152))</f>
        <v/>
      </c>
      <c r="K152" s="2" t="str">
        <f>IF('01_Forms_Raw'!L152="","",'01_Forms_Raw'!L152)</f>
        <v/>
      </c>
      <c r="L152" s="2" t="str">
        <f>IF('01_Forms_Raw'!M152="","",'01_Forms_Raw'!M152)</f>
        <v/>
      </c>
      <c r="M152" s="10"/>
      <c r="N152" s="10"/>
      <c r="O152" s="10" t="str">
        <f t="shared" si="24"/>
        <v/>
      </c>
      <c r="P152" s="10" t="str">
        <f t="shared" si="25"/>
        <v/>
      </c>
      <c r="Q152" s="2" t="str">
        <f t="shared" si="26"/>
        <v/>
      </c>
      <c r="R152" s="2" t="str">
        <f t="shared" si="27"/>
        <v/>
      </c>
      <c r="S152" s="10" t="str">
        <f t="shared" si="28"/>
        <v/>
      </c>
      <c r="T152" s="10" t="str">
        <f t="shared" si="29"/>
        <v/>
      </c>
    </row>
    <row r="153" spans="1:20">
      <c r="A153" s="2" t="str">
        <f>IF('01_Forms_Raw'!A153="","",'01_Forms_Raw'!A153)</f>
        <v/>
      </c>
      <c r="B153" s="9" t="str">
        <f>IF('01_Forms_Raw'!B153="","",'01_Forms_Raw'!B153)</f>
        <v/>
      </c>
      <c r="C153" s="9" t="str">
        <f>IF('01_Forms_Raw'!H153="","",'01_Forms_Raw'!H153)</f>
        <v/>
      </c>
      <c r="D153" s="2" t="str">
        <f>IF('01_Forms_Raw'!D153="","",'01_Forms_Raw'!D153)</f>
        <v/>
      </c>
      <c r="E153" s="2" t="str">
        <f>IF('01_Forms_Raw'!E153="","",'01_Forms_Raw'!E153)</f>
        <v/>
      </c>
      <c r="F153" s="2" t="str">
        <f>IF('01_Forms_Raw'!F153="","",'01_Forms_Raw'!F153)</f>
        <v/>
      </c>
      <c r="G153" s="2" t="str">
        <f>IF('01_Forms_Raw'!G153="","",'01_Forms_Raw'!G153)</f>
        <v/>
      </c>
      <c r="H153" s="2" t="str">
        <f>IF('01_Forms_Raw'!I153="","",'01_Forms_Raw'!I153)</f>
        <v/>
      </c>
      <c r="I153" s="10" t="str">
        <f>IF('01_Forms_Raw'!J153="","",'01_Forms_Raw'!J153)</f>
        <v/>
      </c>
      <c r="J153" s="2" t="str">
        <f>IF('01_Forms_Raw'!K153="","",VALUE('01_Forms_Raw'!K153))</f>
        <v/>
      </c>
      <c r="K153" s="2" t="str">
        <f>IF('01_Forms_Raw'!L153="","",'01_Forms_Raw'!L153)</f>
        <v/>
      </c>
      <c r="L153" s="2" t="str">
        <f>IF('01_Forms_Raw'!M153="","",'01_Forms_Raw'!M153)</f>
        <v/>
      </c>
      <c r="M153" s="10"/>
      <c r="N153" s="10"/>
      <c r="O153" s="10" t="str">
        <f t="shared" si="24"/>
        <v/>
      </c>
      <c r="P153" s="10" t="str">
        <f t="shared" si="25"/>
        <v/>
      </c>
      <c r="Q153" s="2" t="str">
        <f t="shared" si="26"/>
        <v/>
      </c>
      <c r="R153" s="2" t="str">
        <f t="shared" si="27"/>
        <v/>
      </c>
      <c r="S153" s="10" t="str">
        <f t="shared" si="28"/>
        <v/>
      </c>
      <c r="T153" s="10" t="str">
        <f t="shared" si="29"/>
        <v/>
      </c>
    </row>
    <row r="154" spans="1:20">
      <c r="A154" s="2" t="str">
        <f>IF('01_Forms_Raw'!A154="","",'01_Forms_Raw'!A154)</f>
        <v/>
      </c>
      <c r="B154" s="9" t="str">
        <f>IF('01_Forms_Raw'!B154="","",'01_Forms_Raw'!B154)</f>
        <v/>
      </c>
      <c r="C154" s="9" t="str">
        <f>IF('01_Forms_Raw'!H154="","",'01_Forms_Raw'!H154)</f>
        <v/>
      </c>
      <c r="D154" s="2" t="str">
        <f>IF('01_Forms_Raw'!D154="","",'01_Forms_Raw'!D154)</f>
        <v/>
      </c>
      <c r="E154" s="2" t="str">
        <f>IF('01_Forms_Raw'!E154="","",'01_Forms_Raw'!E154)</f>
        <v/>
      </c>
      <c r="F154" s="2" t="str">
        <f>IF('01_Forms_Raw'!F154="","",'01_Forms_Raw'!F154)</f>
        <v/>
      </c>
      <c r="G154" s="2" t="str">
        <f>IF('01_Forms_Raw'!G154="","",'01_Forms_Raw'!G154)</f>
        <v/>
      </c>
      <c r="H154" s="2" t="str">
        <f>IF('01_Forms_Raw'!I154="","",'01_Forms_Raw'!I154)</f>
        <v/>
      </c>
      <c r="I154" s="10" t="str">
        <f>IF('01_Forms_Raw'!J154="","",'01_Forms_Raw'!J154)</f>
        <v/>
      </c>
      <c r="J154" s="2" t="str">
        <f>IF('01_Forms_Raw'!K154="","",VALUE('01_Forms_Raw'!K154))</f>
        <v/>
      </c>
      <c r="K154" s="2" t="str">
        <f>IF('01_Forms_Raw'!L154="","",'01_Forms_Raw'!L154)</f>
        <v/>
      </c>
      <c r="L154" s="2" t="str">
        <f>IF('01_Forms_Raw'!M154="","",'01_Forms_Raw'!M154)</f>
        <v/>
      </c>
      <c r="M154" s="10"/>
      <c r="N154" s="10"/>
      <c r="O154" s="10" t="str">
        <f t="shared" si="24"/>
        <v/>
      </c>
      <c r="P154" s="10" t="str">
        <f t="shared" si="25"/>
        <v/>
      </c>
      <c r="Q154" s="2" t="str">
        <f t="shared" si="26"/>
        <v/>
      </c>
      <c r="R154" s="2" t="str">
        <f t="shared" si="27"/>
        <v/>
      </c>
      <c r="S154" s="10" t="str">
        <f t="shared" si="28"/>
        <v/>
      </c>
      <c r="T154" s="10" t="str">
        <f t="shared" si="29"/>
        <v/>
      </c>
    </row>
    <row r="155" spans="1:20">
      <c r="A155" s="2" t="str">
        <f>IF('01_Forms_Raw'!A155="","",'01_Forms_Raw'!A155)</f>
        <v/>
      </c>
      <c r="B155" s="9" t="str">
        <f>IF('01_Forms_Raw'!B155="","",'01_Forms_Raw'!B155)</f>
        <v/>
      </c>
      <c r="C155" s="9" t="str">
        <f>IF('01_Forms_Raw'!H155="","",'01_Forms_Raw'!H155)</f>
        <v/>
      </c>
      <c r="D155" s="2" t="str">
        <f>IF('01_Forms_Raw'!D155="","",'01_Forms_Raw'!D155)</f>
        <v/>
      </c>
      <c r="E155" s="2" t="str">
        <f>IF('01_Forms_Raw'!E155="","",'01_Forms_Raw'!E155)</f>
        <v/>
      </c>
      <c r="F155" s="2" t="str">
        <f>IF('01_Forms_Raw'!F155="","",'01_Forms_Raw'!F155)</f>
        <v/>
      </c>
      <c r="G155" s="2" t="str">
        <f>IF('01_Forms_Raw'!G155="","",'01_Forms_Raw'!G155)</f>
        <v/>
      </c>
      <c r="H155" s="2" t="str">
        <f>IF('01_Forms_Raw'!I155="","",'01_Forms_Raw'!I155)</f>
        <v/>
      </c>
      <c r="I155" s="10" t="str">
        <f>IF('01_Forms_Raw'!J155="","",'01_Forms_Raw'!J155)</f>
        <v/>
      </c>
      <c r="J155" s="2" t="str">
        <f>IF('01_Forms_Raw'!K155="","",VALUE('01_Forms_Raw'!K155))</f>
        <v/>
      </c>
      <c r="K155" s="2" t="str">
        <f>IF('01_Forms_Raw'!L155="","",'01_Forms_Raw'!L155)</f>
        <v/>
      </c>
      <c r="L155" s="2" t="str">
        <f>IF('01_Forms_Raw'!M155="","",'01_Forms_Raw'!M155)</f>
        <v/>
      </c>
      <c r="M155" s="10"/>
      <c r="N155" s="10"/>
      <c r="O155" s="10" t="str">
        <f t="shared" si="24"/>
        <v/>
      </c>
      <c r="P155" s="10" t="str">
        <f t="shared" si="25"/>
        <v/>
      </c>
      <c r="Q155" s="2" t="str">
        <f t="shared" si="26"/>
        <v/>
      </c>
      <c r="R155" s="2" t="str">
        <f t="shared" si="27"/>
        <v/>
      </c>
      <c r="S155" s="10" t="str">
        <f t="shared" si="28"/>
        <v/>
      </c>
      <c r="T155" s="10" t="str">
        <f t="shared" si="29"/>
        <v/>
      </c>
    </row>
    <row r="156" spans="1:20">
      <c r="A156" s="2" t="str">
        <f>IF('01_Forms_Raw'!A156="","",'01_Forms_Raw'!A156)</f>
        <v/>
      </c>
      <c r="B156" s="9" t="str">
        <f>IF('01_Forms_Raw'!B156="","",'01_Forms_Raw'!B156)</f>
        <v/>
      </c>
      <c r="C156" s="9" t="str">
        <f>IF('01_Forms_Raw'!H156="","",'01_Forms_Raw'!H156)</f>
        <v/>
      </c>
      <c r="D156" s="2" t="str">
        <f>IF('01_Forms_Raw'!D156="","",'01_Forms_Raw'!D156)</f>
        <v/>
      </c>
      <c r="E156" s="2" t="str">
        <f>IF('01_Forms_Raw'!E156="","",'01_Forms_Raw'!E156)</f>
        <v/>
      </c>
      <c r="F156" s="2" t="str">
        <f>IF('01_Forms_Raw'!F156="","",'01_Forms_Raw'!F156)</f>
        <v/>
      </c>
      <c r="G156" s="2" t="str">
        <f>IF('01_Forms_Raw'!G156="","",'01_Forms_Raw'!G156)</f>
        <v/>
      </c>
      <c r="H156" s="2" t="str">
        <f>IF('01_Forms_Raw'!I156="","",'01_Forms_Raw'!I156)</f>
        <v/>
      </c>
      <c r="I156" s="10" t="str">
        <f>IF('01_Forms_Raw'!J156="","",'01_Forms_Raw'!J156)</f>
        <v/>
      </c>
      <c r="J156" s="2" t="str">
        <f>IF('01_Forms_Raw'!K156="","",VALUE('01_Forms_Raw'!K156))</f>
        <v/>
      </c>
      <c r="K156" s="2" t="str">
        <f>IF('01_Forms_Raw'!L156="","",'01_Forms_Raw'!L156)</f>
        <v/>
      </c>
      <c r="L156" s="2" t="str">
        <f>IF('01_Forms_Raw'!M156="","",'01_Forms_Raw'!M156)</f>
        <v/>
      </c>
      <c r="M156" s="10"/>
      <c r="N156" s="10"/>
      <c r="O156" s="10" t="str">
        <f t="shared" si="24"/>
        <v/>
      </c>
      <c r="P156" s="10" t="str">
        <f t="shared" si="25"/>
        <v/>
      </c>
      <c r="Q156" s="2" t="str">
        <f t="shared" si="26"/>
        <v/>
      </c>
      <c r="R156" s="2" t="str">
        <f t="shared" si="27"/>
        <v/>
      </c>
      <c r="S156" s="10" t="str">
        <f t="shared" si="28"/>
        <v/>
      </c>
      <c r="T156" s="10" t="str">
        <f t="shared" si="29"/>
        <v/>
      </c>
    </row>
    <row r="157" spans="1:20">
      <c r="A157" s="2" t="str">
        <f>IF('01_Forms_Raw'!A157="","",'01_Forms_Raw'!A157)</f>
        <v/>
      </c>
      <c r="B157" s="9" t="str">
        <f>IF('01_Forms_Raw'!B157="","",'01_Forms_Raw'!B157)</f>
        <v/>
      </c>
      <c r="C157" s="9" t="str">
        <f>IF('01_Forms_Raw'!H157="","",'01_Forms_Raw'!H157)</f>
        <v/>
      </c>
      <c r="D157" s="2" t="str">
        <f>IF('01_Forms_Raw'!D157="","",'01_Forms_Raw'!D157)</f>
        <v/>
      </c>
      <c r="E157" s="2" t="str">
        <f>IF('01_Forms_Raw'!E157="","",'01_Forms_Raw'!E157)</f>
        <v/>
      </c>
      <c r="F157" s="2" t="str">
        <f>IF('01_Forms_Raw'!F157="","",'01_Forms_Raw'!F157)</f>
        <v/>
      </c>
      <c r="G157" s="2" t="str">
        <f>IF('01_Forms_Raw'!G157="","",'01_Forms_Raw'!G157)</f>
        <v/>
      </c>
      <c r="H157" s="2" t="str">
        <f>IF('01_Forms_Raw'!I157="","",'01_Forms_Raw'!I157)</f>
        <v/>
      </c>
      <c r="I157" s="10" t="str">
        <f>IF('01_Forms_Raw'!J157="","",'01_Forms_Raw'!J157)</f>
        <v/>
      </c>
      <c r="J157" s="2" t="str">
        <f>IF('01_Forms_Raw'!K157="","",VALUE('01_Forms_Raw'!K157))</f>
        <v/>
      </c>
      <c r="K157" s="2" t="str">
        <f>IF('01_Forms_Raw'!L157="","",'01_Forms_Raw'!L157)</f>
        <v/>
      </c>
      <c r="L157" s="2" t="str">
        <f>IF('01_Forms_Raw'!M157="","",'01_Forms_Raw'!M157)</f>
        <v/>
      </c>
      <c r="M157" s="10"/>
      <c r="N157" s="10"/>
      <c r="O157" s="10" t="str">
        <f t="shared" si="24"/>
        <v/>
      </c>
      <c r="P157" s="10" t="str">
        <f t="shared" si="25"/>
        <v/>
      </c>
      <c r="Q157" s="2" t="str">
        <f t="shared" si="26"/>
        <v/>
      </c>
      <c r="R157" s="2" t="str">
        <f t="shared" si="27"/>
        <v/>
      </c>
      <c r="S157" s="10" t="str">
        <f t="shared" si="28"/>
        <v/>
      </c>
      <c r="T157" s="10" t="str">
        <f t="shared" si="29"/>
        <v/>
      </c>
    </row>
    <row r="158" spans="1:20">
      <c r="A158" s="2" t="str">
        <f>IF('01_Forms_Raw'!A158="","",'01_Forms_Raw'!A158)</f>
        <v/>
      </c>
      <c r="B158" s="9" t="str">
        <f>IF('01_Forms_Raw'!B158="","",'01_Forms_Raw'!B158)</f>
        <v/>
      </c>
      <c r="C158" s="9" t="str">
        <f>IF('01_Forms_Raw'!H158="","",'01_Forms_Raw'!H158)</f>
        <v/>
      </c>
      <c r="D158" s="2" t="str">
        <f>IF('01_Forms_Raw'!D158="","",'01_Forms_Raw'!D158)</f>
        <v/>
      </c>
      <c r="E158" s="2" t="str">
        <f>IF('01_Forms_Raw'!E158="","",'01_Forms_Raw'!E158)</f>
        <v/>
      </c>
      <c r="F158" s="2" t="str">
        <f>IF('01_Forms_Raw'!F158="","",'01_Forms_Raw'!F158)</f>
        <v/>
      </c>
      <c r="G158" s="2" t="str">
        <f>IF('01_Forms_Raw'!G158="","",'01_Forms_Raw'!G158)</f>
        <v/>
      </c>
      <c r="H158" s="2" t="str">
        <f>IF('01_Forms_Raw'!I158="","",'01_Forms_Raw'!I158)</f>
        <v/>
      </c>
      <c r="I158" s="10" t="str">
        <f>IF('01_Forms_Raw'!J158="","",'01_Forms_Raw'!J158)</f>
        <v/>
      </c>
      <c r="J158" s="2" t="str">
        <f>IF('01_Forms_Raw'!K158="","",VALUE('01_Forms_Raw'!K158))</f>
        <v/>
      </c>
      <c r="K158" s="2" t="str">
        <f>IF('01_Forms_Raw'!L158="","",'01_Forms_Raw'!L158)</f>
        <v/>
      </c>
      <c r="L158" s="2" t="str">
        <f>IF('01_Forms_Raw'!M158="","",'01_Forms_Raw'!M158)</f>
        <v/>
      </c>
      <c r="M158" s="10"/>
      <c r="N158" s="10"/>
      <c r="O158" s="10" t="str">
        <f t="shared" si="24"/>
        <v/>
      </c>
      <c r="P158" s="10" t="str">
        <f t="shared" si="25"/>
        <v/>
      </c>
      <c r="Q158" s="2" t="str">
        <f t="shared" si="26"/>
        <v/>
      </c>
      <c r="R158" s="2" t="str">
        <f t="shared" si="27"/>
        <v/>
      </c>
      <c r="S158" s="10" t="str">
        <f t="shared" si="28"/>
        <v/>
      </c>
      <c r="T158" s="10" t="str">
        <f t="shared" si="29"/>
        <v/>
      </c>
    </row>
    <row r="159" spans="1:20">
      <c r="A159" s="2" t="str">
        <f>IF('01_Forms_Raw'!A159="","",'01_Forms_Raw'!A159)</f>
        <v/>
      </c>
      <c r="B159" s="9" t="str">
        <f>IF('01_Forms_Raw'!B159="","",'01_Forms_Raw'!B159)</f>
        <v/>
      </c>
      <c r="C159" s="9" t="str">
        <f>IF('01_Forms_Raw'!H159="","",'01_Forms_Raw'!H159)</f>
        <v/>
      </c>
      <c r="D159" s="2" t="str">
        <f>IF('01_Forms_Raw'!D159="","",'01_Forms_Raw'!D159)</f>
        <v/>
      </c>
      <c r="E159" s="2" t="str">
        <f>IF('01_Forms_Raw'!E159="","",'01_Forms_Raw'!E159)</f>
        <v/>
      </c>
      <c r="F159" s="2" t="str">
        <f>IF('01_Forms_Raw'!F159="","",'01_Forms_Raw'!F159)</f>
        <v/>
      </c>
      <c r="G159" s="2" t="str">
        <f>IF('01_Forms_Raw'!G159="","",'01_Forms_Raw'!G159)</f>
        <v/>
      </c>
      <c r="H159" s="2" t="str">
        <f>IF('01_Forms_Raw'!I159="","",'01_Forms_Raw'!I159)</f>
        <v/>
      </c>
      <c r="I159" s="10" t="str">
        <f>IF('01_Forms_Raw'!J159="","",'01_Forms_Raw'!J159)</f>
        <v/>
      </c>
      <c r="J159" s="2" t="str">
        <f>IF('01_Forms_Raw'!K159="","",VALUE('01_Forms_Raw'!K159))</f>
        <v/>
      </c>
      <c r="K159" s="2" t="str">
        <f>IF('01_Forms_Raw'!L159="","",'01_Forms_Raw'!L159)</f>
        <v/>
      </c>
      <c r="L159" s="2" t="str">
        <f>IF('01_Forms_Raw'!M159="","",'01_Forms_Raw'!M159)</f>
        <v/>
      </c>
      <c r="M159" s="10"/>
      <c r="N159" s="10"/>
      <c r="O159" s="10" t="str">
        <f t="shared" si="24"/>
        <v/>
      </c>
      <c r="P159" s="10" t="str">
        <f t="shared" si="25"/>
        <v/>
      </c>
      <c r="Q159" s="2" t="str">
        <f t="shared" si="26"/>
        <v/>
      </c>
      <c r="R159" s="2" t="str">
        <f t="shared" si="27"/>
        <v/>
      </c>
      <c r="S159" s="10" t="str">
        <f t="shared" si="28"/>
        <v/>
      </c>
      <c r="T159" s="10" t="str">
        <f t="shared" si="29"/>
        <v/>
      </c>
    </row>
    <row r="160" spans="1:20">
      <c r="A160" s="2" t="str">
        <f>IF('01_Forms_Raw'!A160="","",'01_Forms_Raw'!A160)</f>
        <v/>
      </c>
      <c r="B160" s="9" t="str">
        <f>IF('01_Forms_Raw'!B160="","",'01_Forms_Raw'!B160)</f>
        <v/>
      </c>
      <c r="C160" s="9" t="str">
        <f>IF('01_Forms_Raw'!H160="","",'01_Forms_Raw'!H160)</f>
        <v/>
      </c>
      <c r="D160" s="2" t="str">
        <f>IF('01_Forms_Raw'!D160="","",'01_Forms_Raw'!D160)</f>
        <v/>
      </c>
      <c r="E160" s="2" t="str">
        <f>IF('01_Forms_Raw'!E160="","",'01_Forms_Raw'!E160)</f>
        <v/>
      </c>
      <c r="F160" s="2" t="str">
        <f>IF('01_Forms_Raw'!F160="","",'01_Forms_Raw'!F160)</f>
        <v/>
      </c>
      <c r="G160" s="2" t="str">
        <f>IF('01_Forms_Raw'!G160="","",'01_Forms_Raw'!G160)</f>
        <v/>
      </c>
      <c r="H160" s="2" t="str">
        <f>IF('01_Forms_Raw'!I160="","",'01_Forms_Raw'!I160)</f>
        <v/>
      </c>
      <c r="I160" s="10" t="str">
        <f>IF('01_Forms_Raw'!J160="","",'01_Forms_Raw'!J160)</f>
        <v/>
      </c>
      <c r="J160" s="2" t="str">
        <f>IF('01_Forms_Raw'!K160="","",VALUE('01_Forms_Raw'!K160))</f>
        <v/>
      </c>
      <c r="K160" s="2" t="str">
        <f>IF('01_Forms_Raw'!L160="","",'01_Forms_Raw'!L160)</f>
        <v/>
      </c>
      <c r="L160" s="2" t="str">
        <f>IF('01_Forms_Raw'!M160="","",'01_Forms_Raw'!M160)</f>
        <v/>
      </c>
      <c r="M160" s="10"/>
      <c r="N160" s="10"/>
      <c r="O160" s="10" t="str">
        <f t="shared" si="24"/>
        <v/>
      </c>
      <c r="P160" s="10" t="str">
        <f t="shared" si="25"/>
        <v/>
      </c>
      <c r="Q160" s="2" t="str">
        <f t="shared" si="26"/>
        <v/>
      </c>
      <c r="R160" s="2" t="str">
        <f t="shared" si="27"/>
        <v/>
      </c>
      <c r="S160" s="10" t="str">
        <f t="shared" si="28"/>
        <v/>
      </c>
      <c r="T160" s="10" t="str">
        <f t="shared" si="29"/>
        <v/>
      </c>
    </row>
    <row r="161" spans="1:20">
      <c r="A161" s="2" t="str">
        <f>IF('01_Forms_Raw'!A161="","",'01_Forms_Raw'!A161)</f>
        <v/>
      </c>
      <c r="B161" s="9" t="str">
        <f>IF('01_Forms_Raw'!B161="","",'01_Forms_Raw'!B161)</f>
        <v/>
      </c>
      <c r="C161" s="9" t="str">
        <f>IF('01_Forms_Raw'!H161="","",'01_Forms_Raw'!H161)</f>
        <v/>
      </c>
      <c r="D161" s="2" t="str">
        <f>IF('01_Forms_Raw'!D161="","",'01_Forms_Raw'!D161)</f>
        <v/>
      </c>
      <c r="E161" s="2" t="str">
        <f>IF('01_Forms_Raw'!E161="","",'01_Forms_Raw'!E161)</f>
        <v/>
      </c>
      <c r="F161" s="2" t="str">
        <f>IF('01_Forms_Raw'!F161="","",'01_Forms_Raw'!F161)</f>
        <v/>
      </c>
      <c r="G161" s="2" t="str">
        <f>IF('01_Forms_Raw'!G161="","",'01_Forms_Raw'!G161)</f>
        <v/>
      </c>
      <c r="H161" s="2" t="str">
        <f>IF('01_Forms_Raw'!I161="","",'01_Forms_Raw'!I161)</f>
        <v/>
      </c>
      <c r="I161" s="10" t="str">
        <f>IF('01_Forms_Raw'!J161="","",'01_Forms_Raw'!J161)</f>
        <v/>
      </c>
      <c r="J161" s="2" t="str">
        <f>IF('01_Forms_Raw'!K161="","",VALUE('01_Forms_Raw'!K161))</f>
        <v/>
      </c>
      <c r="K161" s="2" t="str">
        <f>IF('01_Forms_Raw'!L161="","",'01_Forms_Raw'!L161)</f>
        <v/>
      </c>
      <c r="L161" s="2" t="str">
        <f>IF('01_Forms_Raw'!M161="","",'01_Forms_Raw'!M161)</f>
        <v/>
      </c>
      <c r="M161" s="10"/>
      <c r="N161" s="10"/>
      <c r="O161" s="10" t="str">
        <f t="shared" si="24"/>
        <v/>
      </c>
      <c r="P161" s="10" t="str">
        <f t="shared" si="25"/>
        <v/>
      </c>
      <c r="Q161" s="2" t="str">
        <f t="shared" si="26"/>
        <v/>
      </c>
      <c r="R161" s="2" t="str">
        <f t="shared" si="27"/>
        <v/>
      </c>
      <c r="S161" s="10" t="str">
        <f t="shared" si="28"/>
        <v/>
      </c>
      <c r="T161" s="10" t="str">
        <f t="shared" si="29"/>
        <v/>
      </c>
    </row>
    <row r="162" spans="1:20">
      <c r="A162" s="2" t="str">
        <f>IF('01_Forms_Raw'!A162="","",'01_Forms_Raw'!A162)</f>
        <v/>
      </c>
      <c r="B162" s="9" t="str">
        <f>IF('01_Forms_Raw'!B162="","",'01_Forms_Raw'!B162)</f>
        <v/>
      </c>
      <c r="C162" s="9" t="str">
        <f>IF('01_Forms_Raw'!H162="","",'01_Forms_Raw'!H162)</f>
        <v/>
      </c>
      <c r="D162" s="2" t="str">
        <f>IF('01_Forms_Raw'!D162="","",'01_Forms_Raw'!D162)</f>
        <v/>
      </c>
      <c r="E162" s="2" t="str">
        <f>IF('01_Forms_Raw'!E162="","",'01_Forms_Raw'!E162)</f>
        <v/>
      </c>
      <c r="F162" s="2" t="str">
        <f>IF('01_Forms_Raw'!F162="","",'01_Forms_Raw'!F162)</f>
        <v/>
      </c>
      <c r="G162" s="2" t="str">
        <f>IF('01_Forms_Raw'!G162="","",'01_Forms_Raw'!G162)</f>
        <v/>
      </c>
      <c r="H162" s="2" t="str">
        <f>IF('01_Forms_Raw'!I162="","",'01_Forms_Raw'!I162)</f>
        <v/>
      </c>
      <c r="I162" s="10" t="str">
        <f>IF('01_Forms_Raw'!J162="","",'01_Forms_Raw'!J162)</f>
        <v/>
      </c>
      <c r="J162" s="2" t="str">
        <f>IF('01_Forms_Raw'!K162="","",VALUE('01_Forms_Raw'!K162))</f>
        <v/>
      </c>
      <c r="K162" s="2" t="str">
        <f>IF('01_Forms_Raw'!L162="","",'01_Forms_Raw'!L162)</f>
        <v/>
      </c>
      <c r="L162" s="2" t="str">
        <f>IF('01_Forms_Raw'!M162="","",'01_Forms_Raw'!M162)</f>
        <v/>
      </c>
      <c r="M162" s="10"/>
      <c r="N162" s="10"/>
      <c r="O162" s="10" t="str">
        <f t="shared" ref="O162:O193" si="30">IF(A162="","",IF(AND(D162&lt;&gt;"",E162&lt;&gt;"",H162&lt;&gt;"",I162&lt;&gt;"",J162&lt;&gt;"",K162&lt;&gt;""),"Completa","Incompleta"))</f>
        <v/>
      </c>
      <c r="P162" s="10" t="str">
        <f t="shared" ref="P162:P193" si="31">IF(A162="","",K162-C162)</f>
        <v/>
      </c>
      <c r="Q162" s="2" t="str">
        <f t="shared" ref="Q162:Q193" si="32">IF(A162="","",IF(P162&lt;3,"Riesgo SLA",IF(P162&lt;7,"Corto","OK")))</f>
        <v/>
      </c>
      <c r="R162" s="2" t="str">
        <f t="shared" ref="R162:R193" si="33">IF(A162="","","OT-UM-"&amp;TEXT(C162,"yyyymm")&amp;"-"&amp;TEXT(A162,"000"))</f>
        <v/>
      </c>
      <c r="S162" s="10" t="str">
        <f t="shared" ref="S162:S193" si="34">IF(A162="","",IF(O162="Completa","Sí","No"))</f>
        <v/>
      </c>
      <c r="T162" s="10" t="str">
        <f t="shared" ref="T162:T193" si="35">IF(A162="","",IF(O162="Completa","Lista para OT","Completar brief antes de pasar a diseño"))</f>
        <v/>
      </c>
    </row>
    <row r="163" spans="1:20">
      <c r="A163" s="2" t="str">
        <f>IF('01_Forms_Raw'!A163="","",'01_Forms_Raw'!A163)</f>
        <v/>
      </c>
      <c r="B163" s="9" t="str">
        <f>IF('01_Forms_Raw'!B163="","",'01_Forms_Raw'!B163)</f>
        <v/>
      </c>
      <c r="C163" s="9" t="str">
        <f>IF('01_Forms_Raw'!H163="","",'01_Forms_Raw'!H163)</f>
        <v/>
      </c>
      <c r="D163" s="2" t="str">
        <f>IF('01_Forms_Raw'!D163="","",'01_Forms_Raw'!D163)</f>
        <v/>
      </c>
      <c r="E163" s="2" t="str">
        <f>IF('01_Forms_Raw'!E163="","",'01_Forms_Raw'!E163)</f>
        <v/>
      </c>
      <c r="F163" s="2" t="str">
        <f>IF('01_Forms_Raw'!F163="","",'01_Forms_Raw'!F163)</f>
        <v/>
      </c>
      <c r="G163" s="2" t="str">
        <f>IF('01_Forms_Raw'!G163="","",'01_Forms_Raw'!G163)</f>
        <v/>
      </c>
      <c r="H163" s="2" t="str">
        <f>IF('01_Forms_Raw'!I163="","",'01_Forms_Raw'!I163)</f>
        <v/>
      </c>
      <c r="I163" s="10" t="str">
        <f>IF('01_Forms_Raw'!J163="","",'01_Forms_Raw'!J163)</f>
        <v/>
      </c>
      <c r="J163" s="2" t="str">
        <f>IF('01_Forms_Raw'!K163="","",VALUE('01_Forms_Raw'!K163))</f>
        <v/>
      </c>
      <c r="K163" s="2" t="str">
        <f>IF('01_Forms_Raw'!L163="","",'01_Forms_Raw'!L163)</f>
        <v/>
      </c>
      <c r="L163" s="2" t="str">
        <f>IF('01_Forms_Raw'!M163="","",'01_Forms_Raw'!M163)</f>
        <v/>
      </c>
      <c r="M163" s="10"/>
      <c r="N163" s="10"/>
      <c r="O163" s="10" t="str">
        <f t="shared" si="30"/>
        <v/>
      </c>
      <c r="P163" s="10" t="str">
        <f t="shared" si="31"/>
        <v/>
      </c>
      <c r="Q163" s="2" t="str">
        <f t="shared" si="32"/>
        <v/>
      </c>
      <c r="R163" s="2" t="str">
        <f t="shared" si="33"/>
        <v/>
      </c>
      <c r="S163" s="10" t="str">
        <f t="shared" si="34"/>
        <v/>
      </c>
      <c r="T163" s="10" t="str">
        <f t="shared" si="35"/>
        <v/>
      </c>
    </row>
    <row r="164" spans="1:20">
      <c r="A164" s="2" t="str">
        <f>IF('01_Forms_Raw'!A164="","",'01_Forms_Raw'!A164)</f>
        <v/>
      </c>
      <c r="B164" s="9" t="str">
        <f>IF('01_Forms_Raw'!B164="","",'01_Forms_Raw'!B164)</f>
        <v/>
      </c>
      <c r="C164" s="9" t="str">
        <f>IF('01_Forms_Raw'!H164="","",'01_Forms_Raw'!H164)</f>
        <v/>
      </c>
      <c r="D164" s="2" t="str">
        <f>IF('01_Forms_Raw'!D164="","",'01_Forms_Raw'!D164)</f>
        <v/>
      </c>
      <c r="E164" s="2" t="str">
        <f>IF('01_Forms_Raw'!E164="","",'01_Forms_Raw'!E164)</f>
        <v/>
      </c>
      <c r="F164" s="2" t="str">
        <f>IF('01_Forms_Raw'!F164="","",'01_Forms_Raw'!F164)</f>
        <v/>
      </c>
      <c r="G164" s="2" t="str">
        <f>IF('01_Forms_Raw'!G164="","",'01_Forms_Raw'!G164)</f>
        <v/>
      </c>
      <c r="H164" s="2" t="str">
        <f>IF('01_Forms_Raw'!I164="","",'01_Forms_Raw'!I164)</f>
        <v/>
      </c>
      <c r="I164" s="10" t="str">
        <f>IF('01_Forms_Raw'!J164="","",'01_Forms_Raw'!J164)</f>
        <v/>
      </c>
      <c r="J164" s="2" t="str">
        <f>IF('01_Forms_Raw'!K164="","",VALUE('01_Forms_Raw'!K164))</f>
        <v/>
      </c>
      <c r="K164" s="2" t="str">
        <f>IF('01_Forms_Raw'!L164="","",'01_Forms_Raw'!L164)</f>
        <v/>
      </c>
      <c r="L164" s="2" t="str">
        <f>IF('01_Forms_Raw'!M164="","",'01_Forms_Raw'!M164)</f>
        <v/>
      </c>
      <c r="M164" s="10"/>
      <c r="N164" s="10"/>
      <c r="O164" s="10" t="str">
        <f t="shared" si="30"/>
        <v/>
      </c>
      <c r="P164" s="10" t="str">
        <f t="shared" si="31"/>
        <v/>
      </c>
      <c r="Q164" s="2" t="str">
        <f t="shared" si="32"/>
        <v/>
      </c>
      <c r="R164" s="2" t="str">
        <f t="shared" si="33"/>
        <v/>
      </c>
      <c r="S164" s="10" t="str">
        <f t="shared" si="34"/>
        <v/>
      </c>
      <c r="T164" s="10" t="str">
        <f t="shared" si="35"/>
        <v/>
      </c>
    </row>
    <row r="165" spans="1:20">
      <c r="A165" s="2" t="str">
        <f>IF('01_Forms_Raw'!A165="","",'01_Forms_Raw'!A165)</f>
        <v/>
      </c>
      <c r="B165" s="9" t="str">
        <f>IF('01_Forms_Raw'!B165="","",'01_Forms_Raw'!B165)</f>
        <v/>
      </c>
      <c r="C165" s="9" t="str">
        <f>IF('01_Forms_Raw'!H165="","",'01_Forms_Raw'!H165)</f>
        <v/>
      </c>
      <c r="D165" s="2" t="str">
        <f>IF('01_Forms_Raw'!D165="","",'01_Forms_Raw'!D165)</f>
        <v/>
      </c>
      <c r="E165" s="2" t="str">
        <f>IF('01_Forms_Raw'!E165="","",'01_Forms_Raw'!E165)</f>
        <v/>
      </c>
      <c r="F165" s="2" t="str">
        <f>IF('01_Forms_Raw'!F165="","",'01_Forms_Raw'!F165)</f>
        <v/>
      </c>
      <c r="G165" s="2" t="str">
        <f>IF('01_Forms_Raw'!G165="","",'01_Forms_Raw'!G165)</f>
        <v/>
      </c>
      <c r="H165" s="2" t="str">
        <f>IF('01_Forms_Raw'!I165="","",'01_Forms_Raw'!I165)</f>
        <v/>
      </c>
      <c r="I165" s="10" t="str">
        <f>IF('01_Forms_Raw'!J165="","",'01_Forms_Raw'!J165)</f>
        <v/>
      </c>
      <c r="J165" s="2" t="str">
        <f>IF('01_Forms_Raw'!K165="","",VALUE('01_Forms_Raw'!K165))</f>
        <v/>
      </c>
      <c r="K165" s="2" t="str">
        <f>IF('01_Forms_Raw'!L165="","",'01_Forms_Raw'!L165)</f>
        <v/>
      </c>
      <c r="L165" s="2" t="str">
        <f>IF('01_Forms_Raw'!M165="","",'01_Forms_Raw'!M165)</f>
        <v/>
      </c>
      <c r="M165" s="10"/>
      <c r="N165" s="10"/>
      <c r="O165" s="10" t="str">
        <f t="shared" si="30"/>
        <v/>
      </c>
      <c r="P165" s="10" t="str">
        <f t="shared" si="31"/>
        <v/>
      </c>
      <c r="Q165" s="2" t="str">
        <f t="shared" si="32"/>
        <v/>
      </c>
      <c r="R165" s="2" t="str">
        <f t="shared" si="33"/>
        <v/>
      </c>
      <c r="S165" s="10" t="str">
        <f t="shared" si="34"/>
        <v/>
      </c>
      <c r="T165" s="10" t="str">
        <f t="shared" si="35"/>
        <v/>
      </c>
    </row>
    <row r="166" spans="1:20">
      <c r="A166" s="2" t="str">
        <f>IF('01_Forms_Raw'!A166="","",'01_Forms_Raw'!A166)</f>
        <v/>
      </c>
      <c r="B166" s="9" t="str">
        <f>IF('01_Forms_Raw'!B166="","",'01_Forms_Raw'!B166)</f>
        <v/>
      </c>
      <c r="C166" s="9" t="str">
        <f>IF('01_Forms_Raw'!H166="","",'01_Forms_Raw'!H166)</f>
        <v/>
      </c>
      <c r="D166" s="2" t="str">
        <f>IF('01_Forms_Raw'!D166="","",'01_Forms_Raw'!D166)</f>
        <v/>
      </c>
      <c r="E166" s="2" t="str">
        <f>IF('01_Forms_Raw'!E166="","",'01_Forms_Raw'!E166)</f>
        <v/>
      </c>
      <c r="F166" s="2" t="str">
        <f>IF('01_Forms_Raw'!F166="","",'01_Forms_Raw'!F166)</f>
        <v/>
      </c>
      <c r="G166" s="2" t="str">
        <f>IF('01_Forms_Raw'!G166="","",'01_Forms_Raw'!G166)</f>
        <v/>
      </c>
      <c r="H166" s="2" t="str">
        <f>IF('01_Forms_Raw'!I166="","",'01_Forms_Raw'!I166)</f>
        <v/>
      </c>
      <c r="I166" s="10" t="str">
        <f>IF('01_Forms_Raw'!J166="","",'01_Forms_Raw'!J166)</f>
        <v/>
      </c>
      <c r="J166" s="2" t="str">
        <f>IF('01_Forms_Raw'!K166="","",VALUE('01_Forms_Raw'!K166))</f>
        <v/>
      </c>
      <c r="K166" s="2" t="str">
        <f>IF('01_Forms_Raw'!L166="","",'01_Forms_Raw'!L166)</f>
        <v/>
      </c>
      <c r="L166" s="2" t="str">
        <f>IF('01_Forms_Raw'!M166="","",'01_Forms_Raw'!M166)</f>
        <v/>
      </c>
      <c r="M166" s="10"/>
      <c r="N166" s="10"/>
      <c r="O166" s="10" t="str">
        <f t="shared" si="30"/>
        <v/>
      </c>
      <c r="P166" s="10" t="str">
        <f t="shared" si="31"/>
        <v/>
      </c>
      <c r="Q166" s="2" t="str">
        <f t="shared" si="32"/>
        <v/>
      </c>
      <c r="R166" s="2" t="str">
        <f t="shared" si="33"/>
        <v/>
      </c>
      <c r="S166" s="10" t="str">
        <f t="shared" si="34"/>
        <v/>
      </c>
      <c r="T166" s="10" t="str">
        <f t="shared" si="35"/>
        <v/>
      </c>
    </row>
    <row r="167" spans="1:20">
      <c r="A167" s="2" t="str">
        <f>IF('01_Forms_Raw'!A167="","",'01_Forms_Raw'!A167)</f>
        <v/>
      </c>
      <c r="B167" s="9" t="str">
        <f>IF('01_Forms_Raw'!B167="","",'01_Forms_Raw'!B167)</f>
        <v/>
      </c>
      <c r="C167" s="9" t="str">
        <f>IF('01_Forms_Raw'!H167="","",'01_Forms_Raw'!H167)</f>
        <v/>
      </c>
      <c r="D167" s="2" t="str">
        <f>IF('01_Forms_Raw'!D167="","",'01_Forms_Raw'!D167)</f>
        <v/>
      </c>
      <c r="E167" s="2" t="str">
        <f>IF('01_Forms_Raw'!E167="","",'01_Forms_Raw'!E167)</f>
        <v/>
      </c>
      <c r="F167" s="2" t="str">
        <f>IF('01_Forms_Raw'!F167="","",'01_Forms_Raw'!F167)</f>
        <v/>
      </c>
      <c r="G167" s="2" t="str">
        <f>IF('01_Forms_Raw'!G167="","",'01_Forms_Raw'!G167)</f>
        <v/>
      </c>
      <c r="H167" s="2" t="str">
        <f>IF('01_Forms_Raw'!I167="","",'01_Forms_Raw'!I167)</f>
        <v/>
      </c>
      <c r="I167" s="10" t="str">
        <f>IF('01_Forms_Raw'!J167="","",'01_Forms_Raw'!J167)</f>
        <v/>
      </c>
      <c r="J167" s="2" t="str">
        <f>IF('01_Forms_Raw'!K167="","",VALUE('01_Forms_Raw'!K167))</f>
        <v/>
      </c>
      <c r="K167" s="2" t="str">
        <f>IF('01_Forms_Raw'!L167="","",'01_Forms_Raw'!L167)</f>
        <v/>
      </c>
      <c r="L167" s="2" t="str">
        <f>IF('01_Forms_Raw'!M167="","",'01_Forms_Raw'!M167)</f>
        <v/>
      </c>
      <c r="M167" s="10"/>
      <c r="N167" s="10"/>
      <c r="O167" s="10" t="str">
        <f t="shared" si="30"/>
        <v/>
      </c>
      <c r="P167" s="10" t="str">
        <f t="shared" si="31"/>
        <v/>
      </c>
      <c r="Q167" s="2" t="str">
        <f t="shared" si="32"/>
        <v/>
      </c>
      <c r="R167" s="2" t="str">
        <f t="shared" si="33"/>
        <v/>
      </c>
      <c r="S167" s="10" t="str">
        <f t="shared" si="34"/>
        <v/>
      </c>
      <c r="T167" s="10" t="str">
        <f t="shared" si="35"/>
        <v/>
      </c>
    </row>
    <row r="168" spans="1:20">
      <c r="A168" s="2" t="str">
        <f>IF('01_Forms_Raw'!A168="","",'01_Forms_Raw'!A168)</f>
        <v/>
      </c>
      <c r="B168" s="9" t="str">
        <f>IF('01_Forms_Raw'!B168="","",'01_Forms_Raw'!B168)</f>
        <v/>
      </c>
      <c r="C168" s="9" t="str">
        <f>IF('01_Forms_Raw'!H168="","",'01_Forms_Raw'!H168)</f>
        <v/>
      </c>
      <c r="D168" s="2" t="str">
        <f>IF('01_Forms_Raw'!D168="","",'01_Forms_Raw'!D168)</f>
        <v/>
      </c>
      <c r="E168" s="2" t="str">
        <f>IF('01_Forms_Raw'!E168="","",'01_Forms_Raw'!E168)</f>
        <v/>
      </c>
      <c r="F168" s="2" t="str">
        <f>IF('01_Forms_Raw'!F168="","",'01_Forms_Raw'!F168)</f>
        <v/>
      </c>
      <c r="G168" s="2" t="str">
        <f>IF('01_Forms_Raw'!G168="","",'01_Forms_Raw'!G168)</f>
        <v/>
      </c>
      <c r="H168" s="2" t="str">
        <f>IF('01_Forms_Raw'!I168="","",'01_Forms_Raw'!I168)</f>
        <v/>
      </c>
      <c r="I168" s="10" t="str">
        <f>IF('01_Forms_Raw'!J168="","",'01_Forms_Raw'!J168)</f>
        <v/>
      </c>
      <c r="J168" s="2" t="str">
        <f>IF('01_Forms_Raw'!K168="","",VALUE('01_Forms_Raw'!K168))</f>
        <v/>
      </c>
      <c r="K168" s="2" t="str">
        <f>IF('01_Forms_Raw'!L168="","",'01_Forms_Raw'!L168)</f>
        <v/>
      </c>
      <c r="L168" s="2" t="str">
        <f>IF('01_Forms_Raw'!M168="","",'01_Forms_Raw'!M168)</f>
        <v/>
      </c>
      <c r="M168" s="10"/>
      <c r="N168" s="10"/>
      <c r="O168" s="10" t="str">
        <f t="shared" si="30"/>
        <v/>
      </c>
      <c r="P168" s="10" t="str">
        <f t="shared" si="31"/>
        <v/>
      </c>
      <c r="Q168" s="2" t="str">
        <f t="shared" si="32"/>
        <v/>
      </c>
      <c r="R168" s="2" t="str">
        <f t="shared" si="33"/>
        <v/>
      </c>
      <c r="S168" s="10" t="str">
        <f t="shared" si="34"/>
        <v/>
      </c>
      <c r="T168" s="10" t="str">
        <f t="shared" si="35"/>
        <v/>
      </c>
    </row>
    <row r="169" spans="1:20">
      <c r="A169" s="2" t="str">
        <f>IF('01_Forms_Raw'!A169="","",'01_Forms_Raw'!A169)</f>
        <v/>
      </c>
      <c r="B169" s="9" t="str">
        <f>IF('01_Forms_Raw'!B169="","",'01_Forms_Raw'!B169)</f>
        <v/>
      </c>
      <c r="C169" s="9" t="str">
        <f>IF('01_Forms_Raw'!H169="","",'01_Forms_Raw'!H169)</f>
        <v/>
      </c>
      <c r="D169" s="2" t="str">
        <f>IF('01_Forms_Raw'!D169="","",'01_Forms_Raw'!D169)</f>
        <v/>
      </c>
      <c r="E169" s="2" t="str">
        <f>IF('01_Forms_Raw'!E169="","",'01_Forms_Raw'!E169)</f>
        <v/>
      </c>
      <c r="F169" s="2" t="str">
        <f>IF('01_Forms_Raw'!F169="","",'01_Forms_Raw'!F169)</f>
        <v/>
      </c>
      <c r="G169" s="2" t="str">
        <f>IF('01_Forms_Raw'!G169="","",'01_Forms_Raw'!G169)</f>
        <v/>
      </c>
      <c r="H169" s="2" t="str">
        <f>IF('01_Forms_Raw'!I169="","",'01_Forms_Raw'!I169)</f>
        <v/>
      </c>
      <c r="I169" s="10" t="str">
        <f>IF('01_Forms_Raw'!J169="","",'01_Forms_Raw'!J169)</f>
        <v/>
      </c>
      <c r="J169" s="2" t="str">
        <f>IF('01_Forms_Raw'!K169="","",VALUE('01_Forms_Raw'!K169))</f>
        <v/>
      </c>
      <c r="K169" s="2" t="str">
        <f>IF('01_Forms_Raw'!L169="","",'01_Forms_Raw'!L169)</f>
        <v/>
      </c>
      <c r="L169" s="2" t="str">
        <f>IF('01_Forms_Raw'!M169="","",'01_Forms_Raw'!M169)</f>
        <v/>
      </c>
      <c r="M169" s="10"/>
      <c r="N169" s="10"/>
      <c r="O169" s="10" t="str">
        <f t="shared" si="30"/>
        <v/>
      </c>
      <c r="P169" s="10" t="str">
        <f t="shared" si="31"/>
        <v/>
      </c>
      <c r="Q169" s="2" t="str">
        <f t="shared" si="32"/>
        <v/>
      </c>
      <c r="R169" s="2" t="str">
        <f t="shared" si="33"/>
        <v/>
      </c>
      <c r="S169" s="10" t="str">
        <f t="shared" si="34"/>
        <v/>
      </c>
      <c r="T169" s="10" t="str">
        <f t="shared" si="35"/>
        <v/>
      </c>
    </row>
    <row r="170" spans="1:20">
      <c r="A170" s="2" t="str">
        <f>IF('01_Forms_Raw'!A170="","",'01_Forms_Raw'!A170)</f>
        <v/>
      </c>
      <c r="B170" s="9" t="str">
        <f>IF('01_Forms_Raw'!B170="","",'01_Forms_Raw'!B170)</f>
        <v/>
      </c>
      <c r="C170" s="9" t="str">
        <f>IF('01_Forms_Raw'!H170="","",'01_Forms_Raw'!H170)</f>
        <v/>
      </c>
      <c r="D170" s="2" t="str">
        <f>IF('01_Forms_Raw'!D170="","",'01_Forms_Raw'!D170)</f>
        <v/>
      </c>
      <c r="E170" s="2" t="str">
        <f>IF('01_Forms_Raw'!E170="","",'01_Forms_Raw'!E170)</f>
        <v/>
      </c>
      <c r="F170" s="2" t="str">
        <f>IF('01_Forms_Raw'!F170="","",'01_Forms_Raw'!F170)</f>
        <v/>
      </c>
      <c r="G170" s="2" t="str">
        <f>IF('01_Forms_Raw'!G170="","",'01_Forms_Raw'!G170)</f>
        <v/>
      </c>
      <c r="H170" s="2" t="str">
        <f>IF('01_Forms_Raw'!I170="","",'01_Forms_Raw'!I170)</f>
        <v/>
      </c>
      <c r="I170" s="10" t="str">
        <f>IF('01_Forms_Raw'!J170="","",'01_Forms_Raw'!J170)</f>
        <v/>
      </c>
      <c r="J170" s="2" t="str">
        <f>IF('01_Forms_Raw'!K170="","",VALUE('01_Forms_Raw'!K170))</f>
        <v/>
      </c>
      <c r="K170" s="2" t="str">
        <f>IF('01_Forms_Raw'!L170="","",'01_Forms_Raw'!L170)</f>
        <v/>
      </c>
      <c r="L170" s="2" t="str">
        <f>IF('01_Forms_Raw'!M170="","",'01_Forms_Raw'!M170)</f>
        <v/>
      </c>
      <c r="M170" s="10"/>
      <c r="N170" s="10"/>
      <c r="O170" s="10" t="str">
        <f t="shared" si="30"/>
        <v/>
      </c>
      <c r="P170" s="10" t="str">
        <f t="shared" si="31"/>
        <v/>
      </c>
      <c r="Q170" s="2" t="str">
        <f t="shared" si="32"/>
        <v/>
      </c>
      <c r="R170" s="2" t="str">
        <f t="shared" si="33"/>
        <v/>
      </c>
      <c r="S170" s="10" t="str">
        <f t="shared" si="34"/>
        <v/>
      </c>
      <c r="T170" s="10" t="str">
        <f t="shared" si="35"/>
        <v/>
      </c>
    </row>
    <row r="171" spans="1:20">
      <c r="A171" s="2" t="str">
        <f>IF('01_Forms_Raw'!A171="","",'01_Forms_Raw'!A171)</f>
        <v/>
      </c>
      <c r="B171" s="9" t="str">
        <f>IF('01_Forms_Raw'!B171="","",'01_Forms_Raw'!B171)</f>
        <v/>
      </c>
      <c r="C171" s="9" t="str">
        <f>IF('01_Forms_Raw'!H171="","",'01_Forms_Raw'!H171)</f>
        <v/>
      </c>
      <c r="D171" s="2" t="str">
        <f>IF('01_Forms_Raw'!D171="","",'01_Forms_Raw'!D171)</f>
        <v/>
      </c>
      <c r="E171" s="2" t="str">
        <f>IF('01_Forms_Raw'!E171="","",'01_Forms_Raw'!E171)</f>
        <v/>
      </c>
      <c r="F171" s="2" t="str">
        <f>IF('01_Forms_Raw'!F171="","",'01_Forms_Raw'!F171)</f>
        <v/>
      </c>
      <c r="G171" s="2" t="str">
        <f>IF('01_Forms_Raw'!G171="","",'01_Forms_Raw'!G171)</f>
        <v/>
      </c>
      <c r="H171" s="2" t="str">
        <f>IF('01_Forms_Raw'!I171="","",'01_Forms_Raw'!I171)</f>
        <v/>
      </c>
      <c r="I171" s="10" t="str">
        <f>IF('01_Forms_Raw'!J171="","",'01_Forms_Raw'!J171)</f>
        <v/>
      </c>
      <c r="J171" s="2" t="str">
        <f>IF('01_Forms_Raw'!K171="","",VALUE('01_Forms_Raw'!K171))</f>
        <v/>
      </c>
      <c r="K171" s="2" t="str">
        <f>IF('01_Forms_Raw'!L171="","",'01_Forms_Raw'!L171)</f>
        <v/>
      </c>
      <c r="L171" s="2" t="str">
        <f>IF('01_Forms_Raw'!M171="","",'01_Forms_Raw'!M171)</f>
        <v/>
      </c>
      <c r="M171" s="10"/>
      <c r="N171" s="10"/>
      <c r="O171" s="10" t="str">
        <f t="shared" si="30"/>
        <v/>
      </c>
      <c r="P171" s="10" t="str">
        <f t="shared" si="31"/>
        <v/>
      </c>
      <c r="Q171" s="2" t="str">
        <f t="shared" si="32"/>
        <v/>
      </c>
      <c r="R171" s="2" t="str">
        <f t="shared" si="33"/>
        <v/>
      </c>
      <c r="S171" s="10" t="str">
        <f t="shared" si="34"/>
        <v/>
      </c>
      <c r="T171" s="10" t="str">
        <f t="shared" si="35"/>
        <v/>
      </c>
    </row>
    <row r="172" spans="1:20">
      <c r="A172" s="2" t="str">
        <f>IF('01_Forms_Raw'!A172="","",'01_Forms_Raw'!A172)</f>
        <v/>
      </c>
      <c r="B172" s="9" t="str">
        <f>IF('01_Forms_Raw'!B172="","",'01_Forms_Raw'!B172)</f>
        <v/>
      </c>
      <c r="C172" s="9" t="str">
        <f>IF('01_Forms_Raw'!H172="","",'01_Forms_Raw'!H172)</f>
        <v/>
      </c>
      <c r="D172" s="2" t="str">
        <f>IF('01_Forms_Raw'!D172="","",'01_Forms_Raw'!D172)</f>
        <v/>
      </c>
      <c r="E172" s="2" t="str">
        <f>IF('01_Forms_Raw'!E172="","",'01_Forms_Raw'!E172)</f>
        <v/>
      </c>
      <c r="F172" s="2" t="str">
        <f>IF('01_Forms_Raw'!F172="","",'01_Forms_Raw'!F172)</f>
        <v/>
      </c>
      <c r="G172" s="2" t="str">
        <f>IF('01_Forms_Raw'!G172="","",'01_Forms_Raw'!G172)</f>
        <v/>
      </c>
      <c r="H172" s="2" t="str">
        <f>IF('01_Forms_Raw'!I172="","",'01_Forms_Raw'!I172)</f>
        <v/>
      </c>
      <c r="I172" s="10" t="str">
        <f>IF('01_Forms_Raw'!J172="","",'01_Forms_Raw'!J172)</f>
        <v/>
      </c>
      <c r="J172" s="2" t="str">
        <f>IF('01_Forms_Raw'!K172="","",VALUE('01_Forms_Raw'!K172))</f>
        <v/>
      </c>
      <c r="K172" s="2" t="str">
        <f>IF('01_Forms_Raw'!L172="","",'01_Forms_Raw'!L172)</f>
        <v/>
      </c>
      <c r="L172" s="2" t="str">
        <f>IF('01_Forms_Raw'!M172="","",'01_Forms_Raw'!M172)</f>
        <v/>
      </c>
      <c r="M172" s="10"/>
      <c r="N172" s="10"/>
      <c r="O172" s="10" t="str">
        <f t="shared" si="30"/>
        <v/>
      </c>
      <c r="P172" s="10" t="str">
        <f t="shared" si="31"/>
        <v/>
      </c>
      <c r="Q172" s="2" t="str">
        <f t="shared" si="32"/>
        <v/>
      </c>
      <c r="R172" s="2" t="str">
        <f t="shared" si="33"/>
        <v/>
      </c>
      <c r="S172" s="10" t="str">
        <f t="shared" si="34"/>
        <v/>
      </c>
      <c r="T172" s="10" t="str">
        <f t="shared" si="35"/>
        <v/>
      </c>
    </row>
    <row r="173" spans="1:20">
      <c r="A173" s="2" t="str">
        <f>IF('01_Forms_Raw'!A173="","",'01_Forms_Raw'!A173)</f>
        <v/>
      </c>
      <c r="B173" s="9" t="str">
        <f>IF('01_Forms_Raw'!B173="","",'01_Forms_Raw'!B173)</f>
        <v/>
      </c>
      <c r="C173" s="9" t="str">
        <f>IF('01_Forms_Raw'!H173="","",'01_Forms_Raw'!H173)</f>
        <v/>
      </c>
      <c r="D173" s="2" t="str">
        <f>IF('01_Forms_Raw'!D173="","",'01_Forms_Raw'!D173)</f>
        <v/>
      </c>
      <c r="E173" s="2" t="str">
        <f>IF('01_Forms_Raw'!E173="","",'01_Forms_Raw'!E173)</f>
        <v/>
      </c>
      <c r="F173" s="2" t="str">
        <f>IF('01_Forms_Raw'!F173="","",'01_Forms_Raw'!F173)</f>
        <v/>
      </c>
      <c r="G173" s="2" t="str">
        <f>IF('01_Forms_Raw'!G173="","",'01_Forms_Raw'!G173)</f>
        <v/>
      </c>
      <c r="H173" s="2" t="str">
        <f>IF('01_Forms_Raw'!I173="","",'01_Forms_Raw'!I173)</f>
        <v/>
      </c>
      <c r="I173" s="10" t="str">
        <f>IF('01_Forms_Raw'!J173="","",'01_Forms_Raw'!J173)</f>
        <v/>
      </c>
      <c r="J173" s="2" t="str">
        <f>IF('01_Forms_Raw'!K173="","",VALUE('01_Forms_Raw'!K173))</f>
        <v/>
      </c>
      <c r="K173" s="2" t="str">
        <f>IF('01_Forms_Raw'!L173="","",'01_Forms_Raw'!L173)</f>
        <v/>
      </c>
      <c r="L173" s="2" t="str">
        <f>IF('01_Forms_Raw'!M173="","",'01_Forms_Raw'!M173)</f>
        <v/>
      </c>
      <c r="M173" s="10"/>
      <c r="N173" s="10"/>
      <c r="O173" s="10" t="str">
        <f t="shared" si="30"/>
        <v/>
      </c>
      <c r="P173" s="10" t="str">
        <f t="shared" si="31"/>
        <v/>
      </c>
      <c r="Q173" s="2" t="str">
        <f t="shared" si="32"/>
        <v/>
      </c>
      <c r="R173" s="2" t="str">
        <f t="shared" si="33"/>
        <v/>
      </c>
      <c r="S173" s="10" t="str">
        <f t="shared" si="34"/>
        <v/>
      </c>
      <c r="T173" s="10" t="str">
        <f t="shared" si="35"/>
        <v/>
      </c>
    </row>
    <row r="174" spans="1:20">
      <c r="A174" s="2" t="str">
        <f>IF('01_Forms_Raw'!A174="","",'01_Forms_Raw'!A174)</f>
        <v/>
      </c>
      <c r="B174" s="9" t="str">
        <f>IF('01_Forms_Raw'!B174="","",'01_Forms_Raw'!B174)</f>
        <v/>
      </c>
      <c r="C174" s="9" t="str">
        <f>IF('01_Forms_Raw'!H174="","",'01_Forms_Raw'!H174)</f>
        <v/>
      </c>
      <c r="D174" s="2" t="str">
        <f>IF('01_Forms_Raw'!D174="","",'01_Forms_Raw'!D174)</f>
        <v/>
      </c>
      <c r="E174" s="2" t="str">
        <f>IF('01_Forms_Raw'!E174="","",'01_Forms_Raw'!E174)</f>
        <v/>
      </c>
      <c r="F174" s="2" t="str">
        <f>IF('01_Forms_Raw'!F174="","",'01_Forms_Raw'!F174)</f>
        <v/>
      </c>
      <c r="G174" s="2" t="str">
        <f>IF('01_Forms_Raw'!G174="","",'01_Forms_Raw'!G174)</f>
        <v/>
      </c>
      <c r="H174" s="2" t="str">
        <f>IF('01_Forms_Raw'!I174="","",'01_Forms_Raw'!I174)</f>
        <v/>
      </c>
      <c r="I174" s="10" t="str">
        <f>IF('01_Forms_Raw'!J174="","",'01_Forms_Raw'!J174)</f>
        <v/>
      </c>
      <c r="J174" s="2" t="str">
        <f>IF('01_Forms_Raw'!K174="","",VALUE('01_Forms_Raw'!K174))</f>
        <v/>
      </c>
      <c r="K174" s="2" t="str">
        <f>IF('01_Forms_Raw'!L174="","",'01_Forms_Raw'!L174)</f>
        <v/>
      </c>
      <c r="L174" s="2" t="str">
        <f>IF('01_Forms_Raw'!M174="","",'01_Forms_Raw'!M174)</f>
        <v/>
      </c>
      <c r="M174" s="10"/>
      <c r="N174" s="10"/>
      <c r="O174" s="10" t="str">
        <f t="shared" si="30"/>
        <v/>
      </c>
      <c r="P174" s="10" t="str">
        <f t="shared" si="31"/>
        <v/>
      </c>
      <c r="Q174" s="2" t="str">
        <f t="shared" si="32"/>
        <v/>
      </c>
      <c r="R174" s="2" t="str">
        <f t="shared" si="33"/>
        <v/>
      </c>
      <c r="S174" s="10" t="str">
        <f t="shared" si="34"/>
        <v/>
      </c>
      <c r="T174" s="10" t="str">
        <f t="shared" si="35"/>
        <v/>
      </c>
    </row>
    <row r="175" spans="1:20">
      <c r="A175" s="2" t="str">
        <f>IF('01_Forms_Raw'!A175="","",'01_Forms_Raw'!A175)</f>
        <v/>
      </c>
      <c r="B175" s="9" t="str">
        <f>IF('01_Forms_Raw'!B175="","",'01_Forms_Raw'!B175)</f>
        <v/>
      </c>
      <c r="C175" s="9" t="str">
        <f>IF('01_Forms_Raw'!H175="","",'01_Forms_Raw'!H175)</f>
        <v/>
      </c>
      <c r="D175" s="2" t="str">
        <f>IF('01_Forms_Raw'!D175="","",'01_Forms_Raw'!D175)</f>
        <v/>
      </c>
      <c r="E175" s="2" t="str">
        <f>IF('01_Forms_Raw'!E175="","",'01_Forms_Raw'!E175)</f>
        <v/>
      </c>
      <c r="F175" s="2" t="str">
        <f>IF('01_Forms_Raw'!F175="","",'01_Forms_Raw'!F175)</f>
        <v/>
      </c>
      <c r="G175" s="2" t="str">
        <f>IF('01_Forms_Raw'!G175="","",'01_Forms_Raw'!G175)</f>
        <v/>
      </c>
      <c r="H175" s="2" t="str">
        <f>IF('01_Forms_Raw'!I175="","",'01_Forms_Raw'!I175)</f>
        <v/>
      </c>
      <c r="I175" s="10" t="str">
        <f>IF('01_Forms_Raw'!J175="","",'01_Forms_Raw'!J175)</f>
        <v/>
      </c>
      <c r="J175" s="2" t="str">
        <f>IF('01_Forms_Raw'!K175="","",VALUE('01_Forms_Raw'!K175))</f>
        <v/>
      </c>
      <c r="K175" s="2" t="str">
        <f>IF('01_Forms_Raw'!L175="","",'01_Forms_Raw'!L175)</f>
        <v/>
      </c>
      <c r="L175" s="2" t="str">
        <f>IF('01_Forms_Raw'!M175="","",'01_Forms_Raw'!M175)</f>
        <v/>
      </c>
      <c r="M175" s="10"/>
      <c r="N175" s="10"/>
      <c r="O175" s="10" t="str">
        <f t="shared" si="30"/>
        <v/>
      </c>
      <c r="P175" s="10" t="str">
        <f t="shared" si="31"/>
        <v/>
      </c>
      <c r="Q175" s="2" t="str">
        <f t="shared" si="32"/>
        <v/>
      </c>
      <c r="R175" s="2" t="str">
        <f t="shared" si="33"/>
        <v/>
      </c>
      <c r="S175" s="10" t="str">
        <f t="shared" si="34"/>
        <v/>
      </c>
      <c r="T175" s="10" t="str">
        <f t="shared" si="35"/>
        <v/>
      </c>
    </row>
    <row r="176" spans="1:20">
      <c r="A176" s="2" t="str">
        <f>IF('01_Forms_Raw'!A176="","",'01_Forms_Raw'!A176)</f>
        <v/>
      </c>
      <c r="B176" s="9" t="str">
        <f>IF('01_Forms_Raw'!B176="","",'01_Forms_Raw'!B176)</f>
        <v/>
      </c>
      <c r="C176" s="9" t="str">
        <f>IF('01_Forms_Raw'!H176="","",'01_Forms_Raw'!H176)</f>
        <v/>
      </c>
      <c r="D176" s="2" t="str">
        <f>IF('01_Forms_Raw'!D176="","",'01_Forms_Raw'!D176)</f>
        <v/>
      </c>
      <c r="E176" s="2" t="str">
        <f>IF('01_Forms_Raw'!E176="","",'01_Forms_Raw'!E176)</f>
        <v/>
      </c>
      <c r="F176" s="2" t="str">
        <f>IF('01_Forms_Raw'!F176="","",'01_Forms_Raw'!F176)</f>
        <v/>
      </c>
      <c r="G176" s="2" t="str">
        <f>IF('01_Forms_Raw'!G176="","",'01_Forms_Raw'!G176)</f>
        <v/>
      </c>
      <c r="H176" s="2" t="str">
        <f>IF('01_Forms_Raw'!I176="","",'01_Forms_Raw'!I176)</f>
        <v/>
      </c>
      <c r="I176" s="10" t="str">
        <f>IF('01_Forms_Raw'!J176="","",'01_Forms_Raw'!J176)</f>
        <v/>
      </c>
      <c r="J176" s="2" t="str">
        <f>IF('01_Forms_Raw'!K176="","",VALUE('01_Forms_Raw'!K176))</f>
        <v/>
      </c>
      <c r="K176" s="2" t="str">
        <f>IF('01_Forms_Raw'!L176="","",'01_Forms_Raw'!L176)</f>
        <v/>
      </c>
      <c r="L176" s="2" t="str">
        <f>IF('01_Forms_Raw'!M176="","",'01_Forms_Raw'!M176)</f>
        <v/>
      </c>
      <c r="M176" s="10"/>
      <c r="N176" s="10"/>
      <c r="O176" s="10" t="str">
        <f t="shared" si="30"/>
        <v/>
      </c>
      <c r="P176" s="10" t="str">
        <f t="shared" si="31"/>
        <v/>
      </c>
      <c r="Q176" s="2" t="str">
        <f t="shared" si="32"/>
        <v/>
      </c>
      <c r="R176" s="2" t="str">
        <f t="shared" si="33"/>
        <v/>
      </c>
      <c r="S176" s="10" t="str">
        <f t="shared" si="34"/>
        <v/>
      </c>
      <c r="T176" s="10" t="str">
        <f t="shared" si="35"/>
        <v/>
      </c>
    </row>
    <row r="177" spans="1:20">
      <c r="A177" s="2" t="str">
        <f>IF('01_Forms_Raw'!A177="","",'01_Forms_Raw'!A177)</f>
        <v/>
      </c>
      <c r="B177" s="9" t="str">
        <f>IF('01_Forms_Raw'!B177="","",'01_Forms_Raw'!B177)</f>
        <v/>
      </c>
      <c r="C177" s="9" t="str">
        <f>IF('01_Forms_Raw'!H177="","",'01_Forms_Raw'!H177)</f>
        <v/>
      </c>
      <c r="D177" s="2" t="str">
        <f>IF('01_Forms_Raw'!D177="","",'01_Forms_Raw'!D177)</f>
        <v/>
      </c>
      <c r="E177" s="2" t="str">
        <f>IF('01_Forms_Raw'!E177="","",'01_Forms_Raw'!E177)</f>
        <v/>
      </c>
      <c r="F177" s="2" t="str">
        <f>IF('01_Forms_Raw'!F177="","",'01_Forms_Raw'!F177)</f>
        <v/>
      </c>
      <c r="G177" s="2" t="str">
        <f>IF('01_Forms_Raw'!G177="","",'01_Forms_Raw'!G177)</f>
        <v/>
      </c>
      <c r="H177" s="2" t="str">
        <f>IF('01_Forms_Raw'!I177="","",'01_Forms_Raw'!I177)</f>
        <v/>
      </c>
      <c r="I177" s="10" t="str">
        <f>IF('01_Forms_Raw'!J177="","",'01_Forms_Raw'!J177)</f>
        <v/>
      </c>
      <c r="J177" s="2" t="str">
        <f>IF('01_Forms_Raw'!K177="","",VALUE('01_Forms_Raw'!K177))</f>
        <v/>
      </c>
      <c r="K177" s="2" t="str">
        <f>IF('01_Forms_Raw'!L177="","",'01_Forms_Raw'!L177)</f>
        <v/>
      </c>
      <c r="L177" s="2" t="str">
        <f>IF('01_Forms_Raw'!M177="","",'01_Forms_Raw'!M177)</f>
        <v/>
      </c>
      <c r="M177" s="10"/>
      <c r="N177" s="10"/>
      <c r="O177" s="10" t="str">
        <f t="shared" si="30"/>
        <v/>
      </c>
      <c r="P177" s="10" t="str">
        <f t="shared" si="31"/>
        <v/>
      </c>
      <c r="Q177" s="2" t="str">
        <f t="shared" si="32"/>
        <v/>
      </c>
      <c r="R177" s="2" t="str">
        <f t="shared" si="33"/>
        <v/>
      </c>
      <c r="S177" s="10" t="str">
        <f t="shared" si="34"/>
        <v/>
      </c>
      <c r="T177" s="10" t="str">
        <f t="shared" si="35"/>
        <v/>
      </c>
    </row>
    <row r="178" spans="1:20">
      <c r="A178" s="2" t="str">
        <f>IF('01_Forms_Raw'!A178="","",'01_Forms_Raw'!A178)</f>
        <v/>
      </c>
      <c r="B178" s="9" t="str">
        <f>IF('01_Forms_Raw'!B178="","",'01_Forms_Raw'!B178)</f>
        <v/>
      </c>
      <c r="C178" s="9" t="str">
        <f>IF('01_Forms_Raw'!H178="","",'01_Forms_Raw'!H178)</f>
        <v/>
      </c>
      <c r="D178" s="2" t="str">
        <f>IF('01_Forms_Raw'!D178="","",'01_Forms_Raw'!D178)</f>
        <v/>
      </c>
      <c r="E178" s="2" t="str">
        <f>IF('01_Forms_Raw'!E178="","",'01_Forms_Raw'!E178)</f>
        <v/>
      </c>
      <c r="F178" s="2" t="str">
        <f>IF('01_Forms_Raw'!F178="","",'01_Forms_Raw'!F178)</f>
        <v/>
      </c>
      <c r="G178" s="2" t="str">
        <f>IF('01_Forms_Raw'!G178="","",'01_Forms_Raw'!G178)</f>
        <v/>
      </c>
      <c r="H178" s="2" t="str">
        <f>IF('01_Forms_Raw'!I178="","",'01_Forms_Raw'!I178)</f>
        <v/>
      </c>
      <c r="I178" s="10" t="str">
        <f>IF('01_Forms_Raw'!J178="","",'01_Forms_Raw'!J178)</f>
        <v/>
      </c>
      <c r="J178" s="2" t="str">
        <f>IF('01_Forms_Raw'!K178="","",VALUE('01_Forms_Raw'!K178))</f>
        <v/>
      </c>
      <c r="K178" s="2" t="str">
        <f>IF('01_Forms_Raw'!L178="","",'01_Forms_Raw'!L178)</f>
        <v/>
      </c>
      <c r="L178" s="2" t="str">
        <f>IF('01_Forms_Raw'!M178="","",'01_Forms_Raw'!M178)</f>
        <v/>
      </c>
      <c r="M178" s="10"/>
      <c r="N178" s="10"/>
      <c r="O178" s="10" t="str">
        <f t="shared" si="30"/>
        <v/>
      </c>
      <c r="P178" s="10" t="str">
        <f t="shared" si="31"/>
        <v/>
      </c>
      <c r="Q178" s="2" t="str">
        <f t="shared" si="32"/>
        <v/>
      </c>
      <c r="R178" s="2" t="str">
        <f t="shared" si="33"/>
        <v/>
      </c>
      <c r="S178" s="10" t="str">
        <f t="shared" si="34"/>
        <v/>
      </c>
      <c r="T178" s="10" t="str">
        <f t="shared" si="35"/>
        <v/>
      </c>
    </row>
    <row r="179" spans="1:20">
      <c r="A179" s="2" t="str">
        <f>IF('01_Forms_Raw'!A179="","",'01_Forms_Raw'!A179)</f>
        <v/>
      </c>
      <c r="B179" s="9" t="str">
        <f>IF('01_Forms_Raw'!B179="","",'01_Forms_Raw'!B179)</f>
        <v/>
      </c>
      <c r="C179" s="9" t="str">
        <f>IF('01_Forms_Raw'!H179="","",'01_Forms_Raw'!H179)</f>
        <v/>
      </c>
      <c r="D179" s="2" t="str">
        <f>IF('01_Forms_Raw'!D179="","",'01_Forms_Raw'!D179)</f>
        <v/>
      </c>
      <c r="E179" s="2" t="str">
        <f>IF('01_Forms_Raw'!E179="","",'01_Forms_Raw'!E179)</f>
        <v/>
      </c>
      <c r="F179" s="2" t="str">
        <f>IF('01_Forms_Raw'!F179="","",'01_Forms_Raw'!F179)</f>
        <v/>
      </c>
      <c r="G179" s="2" t="str">
        <f>IF('01_Forms_Raw'!G179="","",'01_Forms_Raw'!G179)</f>
        <v/>
      </c>
      <c r="H179" s="2" t="str">
        <f>IF('01_Forms_Raw'!I179="","",'01_Forms_Raw'!I179)</f>
        <v/>
      </c>
      <c r="I179" s="10" t="str">
        <f>IF('01_Forms_Raw'!J179="","",'01_Forms_Raw'!J179)</f>
        <v/>
      </c>
      <c r="J179" s="2" t="str">
        <f>IF('01_Forms_Raw'!K179="","",VALUE('01_Forms_Raw'!K179))</f>
        <v/>
      </c>
      <c r="K179" s="2" t="str">
        <f>IF('01_Forms_Raw'!L179="","",'01_Forms_Raw'!L179)</f>
        <v/>
      </c>
      <c r="L179" s="2" t="str">
        <f>IF('01_Forms_Raw'!M179="","",'01_Forms_Raw'!M179)</f>
        <v/>
      </c>
      <c r="M179" s="10"/>
      <c r="N179" s="10"/>
      <c r="O179" s="10" t="str">
        <f t="shared" si="30"/>
        <v/>
      </c>
      <c r="P179" s="10" t="str">
        <f t="shared" si="31"/>
        <v/>
      </c>
      <c r="Q179" s="2" t="str">
        <f t="shared" si="32"/>
        <v/>
      </c>
      <c r="R179" s="2" t="str">
        <f t="shared" si="33"/>
        <v/>
      </c>
      <c r="S179" s="10" t="str">
        <f t="shared" si="34"/>
        <v/>
      </c>
      <c r="T179" s="10" t="str">
        <f t="shared" si="35"/>
        <v/>
      </c>
    </row>
    <row r="180" spans="1:20">
      <c r="A180" s="2" t="str">
        <f>IF('01_Forms_Raw'!A180="","",'01_Forms_Raw'!A180)</f>
        <v/>
      </c>
      <c r="B180" s="9" t="str">
        <f>IF('01_Forms_Raw'!B180="","",'01_Forms_Raw'!B180)</f>
        <v/>
      </c>
      <c r="C180" s="9" t="str">
        <f>IF('01_Forms_Raw'!H180="","",'01_Forms_Raw'!H180)</f>
        <v/>
      </c>
      <c r="D180" s="2" t="str">
        <f>IF('01_Forms_Raw'!D180="","",'01_Forms_Raw'!D180)</f>
        <v/>
      </c>
      <c r="E180" s="2" t="str">
        <f>IF('01_Forms_Raw'!E180="","",'01_Forms_Raw'!E180)</f>
        <v/>
      </c>
      <c r="F180" s="2" t="str">
        <f>IF('01_Forms_Raw'!F180="","",'01_Forms_Raw'!F180)</f>
        <v/>
      </c>
      <c r="G180" s="2" t="str">
        <f>IF('01_Forms_Raw'!G180="","",'01_Forms_Raw'!G180)</f>
        <v/>
      </c>
      <c r="H180" s="2" t="str">
        <f>IF('01_Forms_Raw'!I180="","",'01_Forms_Raw'!I180)</f>
        <v/>
      </c>
      <c r="I180" s="10" t="str">
        <f>IF('01_Forms_Raw'!J180="","",'01_Forms_Raw'!J180)</f>
        <v/>
      </c>
      <c r="J180" s="2" t="str">
        <f>IF('01_Forms_Raw'!K180="","",VALUE('01_Forms_Raw'!K180))</f>
        <v/>
      </c>
      <c r="K180" s="2" t="str">
        <f>IF('01_Forms_Raw'!L180="","",'01_Forms_Raw'!L180)</f>
        <v/>
      </c>
      <c r="L180" s="2" t="str">
        <f>IF('01_Forms_Raw'!M180="","",'01_Forms_Raw'!M180)</f>
        <v/>
      </c>
      <c r="M180" s="10"/>
      <c r="N180" s="10"/>
      <c r="O180" s="10" t="str">
        <f t="shared" si="30"/>
        <v/>
      </c>
      <c r="P180" s="10" t="str">
        <f t="shared" si="31"/>
        <v/>
      </c>
      <c r="Q180" s="2" t="str">
        <f t="shared" si="32"/>
        <v/>
      </c>
      <c r="R180" s="2" t="str">
        <f t="shared" si="33"/>
        <v/>
      </c>
      <c r="S180" s="10" t="str">
        <f t="shared" si="34"/>
        <v/>
      </c>
      <c r="T180" s="10" t="str">
        <f t="shared" si="35"/>
        <v/>
      </c>
    </row>
    <row r="181" spans="1:20">
      <c r="A181" s="2" t="str">
        <f>IF('01_Forms_Raw'!A181="","",'01_Forms_Raw'!A181)</f>
        <v/>
      </c>
      <c r="B181" s="9" t="str">
        <f>IF('01_Forms_Raw'!B181="","",'01_Forms_Raw'!B181)</f>
        <v/>
      </c>
      <c r="C181" s="9" t="str">
        <f>IF('01_Forms_Raw'!H181="","",'01_Forms_Raw'!H181)</f>
        <v/>
      </c>
      <c r="D181" s="2" t="str">
        <f>IF('01_Forms_Raw'!D181="","",'01_Forms_Raw'!D181)</f>
        <v/>
      </c>
      <c r="E181" s="2" t="str">
        <f>IF('01_Forms_Raw'!E181="","",'01_Forms_Raw'!E181)</f>
        <v/>
      </c>
      <c r="F181" s="2" t="str">
        <f>IF('01_Forms_Raw'!F181="","",'01_Forms_Raw'!F181)</f>
        <v/>
      </c>
      <c r="G181" s="2" t="str">
        <f>IF('01_Forms_Raw'!G181="","",'01_Forms_Raw'!G181)</f>
        <v/>
      </c>
      <c r="H181" s="2" t="str">
        <f>IF('01_Forms_Raw'!I181="","",'01_Forms_Raw'!I181)</f>
        <v/>
      </c>
      <c r="I181" s="10" t="str">
        <f>IF('01_Forms_Raw'!J181="","",'01_Forms_Raw'!J181)</f>
        <v/>
      </c>
      <c r="J181" s="2" t="str">
        <f>IF('01_Forms_Raw'!K181="","",VALUE('01_Forms_Raw'!K181))</f>
        <v/>
      </c>
      <c r="K181" s="2" t="str">
        <f>IF('01_Forms_Raw'!L181="","",'01_Forms_Raw'!L181)</f>
        <v/>
      </c>
      <c r="L181" s="2" t="str">
        <f>IF('01_Forms_Raw'!M181="","",'01_Forms_Raw'!M181)</f>
        <v/>
      </c>
      <c r="M181" s="10"/>
      <c r="N181" s="10"/>
      <c r="O181" s="10" t="str">
        <f t="shared" si="30"/>
        <v/>
      </c>
      <c r="P181" s="10" t="str">
        <f t="shared" si="31"/>
        <v/>
      </c>
      <c r="Q181" s="2" t="str">
        <f t="shared" si="32"/>
        <v/>
      </c>
      <c r="R181" s="2" t="str">
        <f t="shared" si="33"/>
        <v/>
      </c>
      <c r="S181" s="10" t="str">
        <f t="shared" si="34"/>
        <v/>
      </c>
      <c r="T181" s="10" t="str">
        <f t="shared" si="35"/>
        <v/>
      </c>
    </row>
    <row r="182" spans="1:20">
      <c r="A182" s="2" t="str">
        <f>IF('01_Forms_Raw'!A182="","",'01_Forms_Raw'!A182)</f>
        <v/>
      </c>
      <c r="B182" s="9" t="str">
        <f>IF('01_Forms_Raw'!B182="","",'01_Forms_Raw'!B182)</f>
        <v/>
      </c>
      <c r="C182" s="9" t="str">
        <f>IF('01_Forms_Raw'!H182="","",'01_Forms_Raw'!H182)</f>
        <v/>
      </c>
      <c r="D182" s="2" t="str">
        <f>IF('01_Forms_Raw'!D182="","",'01_Forms_Raw'!D182)</f>
        <v/>
      </c>
      <c r="E182" s="2" t="str">
        <f>IF('01_Forms_Raw'!E182="","",'01_Forms_Raw'!E182)</f>
        <v/>
      </c>
      <c r="F182" s="2" t="str">
        <f>IF('01_Forms_Raw'!F182="","",'01_Forms_Raw'!F182)</f>
        <v/>
      </c>
      <c r="G182" s="2" t="str">
        <f>IF('01_Forms_Raw'!G182="","",'01_Forms_Raw'!G182)</f>
        <v/>
      </c>
      <c r="H182" s="2" t="str">
        <f>IF('01_Forms_Raw'!I182="","",'01_Forms_Raw'!I182)</f>
        <v/>
      </c>
      <c r="I182" s="10" t="str">
        <f>IF('01_Forms_Raw'!J182="","",'01_Forms_Raw'!J182)</f>
        <v/>
      </c>
      <c r="J182" s="2" t="str">
        <f>IF('01_Forms_Raw'!K182="","",VALUE('01_Forms_Raw'!K182))</f>
        <v/>
      </c>
      <c r="K182" s="2" t="str">
        <f>IF('01_Forms_Raw'!L182="","",'01_Forms_Raw'!L182)</f>
        <v/>
      </c>
      <c r="L182" s="2" t="str">
        <f>IF('01_Forms_Raw'!M182="","",'01_Forms_Raw'!M182)</f>
        <v/>
      </c>
      <c r="M182" s="10"/>
      <c r="N182" s="10"/>
      <c r="O182" s="10" t="str">
        <f t="shared" si="30"/>
        <v/>
      </c>
      <c r="P182" s="10" t="str">
        <f t="shared" si="31"/>
        <v/>
      </c>
      <c r="Q182" s="2" t="str">
        <f t="shared" si="32"/>
        <v/>
      </c>
      <c r="R182" s="2" t="str">
        <f t="shared" si="33"/>
        <v/>
      </c>
      <c r="S182" s="10" t="str">
        <f t="shared" si="34"/>
        <v/>
      </c>
      <c r="T182" s="10" t="str">
        <f t="shared" si="35"/>
        <v/>
      </c>
    </row>
    <row r="183" spans="1:20">
      <c r="A183" s="2" t="str">
        <f>IF('01_Forms_Raw'!A183="","",'01_Forms_Raw'!A183)</f>
        <v/>
      </c>
      <c r="B183" s="9" t="str">
        <f>IF('01_Forms_Raw'!B183="","",'01_Forms_Raw'!B183)</f>
        <v/>
      </c>
      <c r="C183" s="9" t="str">
        <f>IF('01_Forms_Raw'!H183="","",'01_Forms_Raw'!H183)</f>
        <v/>
      </c>
      <c r="D183" s="2" t="str">
        <f>IF('01_Forms_Raw'!D183="","",'01_Forms_Raw'!D183)</f>
        <v/>
      </c>
      <c r="E183" s="2" t="str">
        <f>IF('01_Forms_Raw'!E183="","",'01_Forms_Raw'!E183)</f>
        <v/>
      </c>
      <c r="F183" s="2" t="str">
        <f>IF('01_Forms_Raw'!F183="","",'01_Forms_Raw'!F183)</f>
        <v/>
      </c>
      <c r="G183" s="2" t="str">
        <f>IF('01_Forms_Raw'!G183="","",'01_Forms_Raw'!G183)</f>
        <v/>
      </c>
      <c r="H183" s="2" t="str">
        <f>IF('01_Forms_Raw'!I183="","",'01_Forms_Raw'!I183)</f>
        <v/>
      </c>
      <c r="I183" s="10" t="str">
        <f>IF('01_Forms_Raw'!J183="","",'01_Forms_Raw'!J183)</f>
        <v/>
      </c>
      <c r="J183" s="2" t="str">
        <f>IF('01_Forms_Raw'!K183="","",VALUE('01_Forms_Raw'!K183))</f>
        <v/>
      </c>
      <c r="K183" s="2" t="str">
        <f>IF('01_Forms_Raw'!L183="","",'01_Forms_Raw'!L183)</f>
        <v/>
      </c>
      <c r="L183" s="2" t="str">
        <f>IF('01_Forms_Raw'!M183="","",'01_Forms_Raw'!M183)</f>
        <v/>
      </c>
      <c r="M183" s="10"/>
      <c r="N183" s="10"/>
      <c r="O183" s="10" t="str">
        <f t="shared" si="30"/>
        <v/>
      </c>
      <c r="P183" s="10" t="str">
        <f t="shared" si="31"/>
        <v/>
      </c>
      <c r="Q183" s="2" t="str">
        <f t="shared" si="32"/>
        <v/>
      </c>
      <c r="R183" s="2" t="str">
        <f t="shared" si="33"/>
        <v/>
      </c>
      <c r="S183" s="10" t="str">
        <f t="shared" si="34"/>
        <v/>
      </c>
      <c r="T183" s="10" t="str">
        <f t="shared" si="35"/>
        <v/>
      </c>
    </row>
    <row r="184" spans="1:20">
      <c r="A184" s="2" t="str">
        <f>IF('01_Forms_Raw'!A184="","",'01_Forms_Raw'!A184)</f>
        <v/>
      </c>
      <c r="B184" s="9" t="str">
        <f>IF('01_Forms_Raw'!B184="","",'01_Forms_Raw'!B184)</f>
        <v/>
      </c>
      <c r="C184" s="9" t="str">
        <f>IF('01_Forms_Raw'!H184="","",'01_Forms_Raw'!H184)</f>
        <v/>
      </c>
      <c r="D184" s="2" t="str">
        <f>IF('01_Forms_Raw'!D184="","",'01_Forms_Raw'!D184)</f>
        <v/>
      </c>
      <c r="E184" s="2" t="str">
        <f>IF('01_Forms_Raw'!E184="","",'01_Forms_Raw'!E184)</f>
        <v/>
      </c>
      <c r="F184" s="2" t="str">
        <f>IF('01_Forms_Raw'!F184="","",'01_Forms_Raw'!F184)</f>
        <v/>
      </c>
      <c r="G184" s="2" t="str">
        <f>IF('01_Forms_Raw'!G184="","",'01_Forms_Raw'!G184)</f>
        <v/>
      </c>
      <c r="H184" s="2" t="str">
        <f>IF('01_Forms_Raw'!I184="","",'01_Forms_Raw'!I184)</f>
        <v/>
      </c>
      <c r="I184" s="10" t="str">
        <f>IF('01_Forms_Raw'!J184="","",'01_Forms_Raw'!J184)</f>
        <v/>
      </c>
      <c r="J184" s="2" t="str">
        <f>IF('01_Forms_Raw'!K184="","",VALUE('01_Forms_Raw'!K184))</f>
        <v/>
      </c>
      <c r="K184" s="2" t="str">
        <f>IF('01_Forms_Raw'!L184="","",'01_Forms_Raw'!L184)</f>
        <v/>
      </c>
      <c r="L184" s="2" t="str">
        <f>IF('01_Forms_Raw'!M184="","",'01_Forms_Raw'!M184)</f>
        <v/>
      </c>
      <c r="M184" s="10"/>
      <c r="N184" s="10"/>
      <c r="O184" s="10" t="str">
        <f t="shared" si="30"/>
        <v/>
      </c>
      <c r="P184" s="10" t="str">
        <f t="shared" si="31"/>
        <v/>
      </c>
      <c r="Q184" s="2" t="str">
        <f t="shared" si="32"/>
        <v/>
      </c>
      <c r="R184" s="2" t="str">
        <f t="shared" si="33"/>
        <v/>
      </c>
      <c r="S184" s="10" t="str">
        <f t="shared" si="34"/>
        <v/>
      </c>
      <c r="T184" s="10" t="str">
        <f t="shared" si="35"/>
        <v/>
      </c>
    </row>
    <row r="185" spans="1:20">
      <c r="A185" s="2" t="str">
        <f>IF('01_Forms_Raw'!A185="","",'01_Forms_Raw'!A185)</f>
        <v/>
      </c>
      <c r="B185" s="9" t="str">
        <f>IF('01_Forms_Raw'!B185="","",'01_Forms_Raw'!B185)</f>
        <v/>
      </c>
      <c r="C185" s="9" t="str">
        <f>IF('01_Forms_Raw'!H185="","",'01_Forms_Raw'!H185)</f>
        <v/>
      </c>
      <c r="D185" s="2" t="str">
        <f>IF('01_Forms_Raw'!D185="","",'01_Forms_Raw'!D185)</f>
        <v/>
      </c>
      <c r="E185" s="2" t="str">
        <f>IF('01_Forms_Raw'!E185="","",'01_Forms_Raw'!E185)</f>
        <v/>
      </c>
      <c r="F185" s="2" t="str">
        <f>IF('01_Forms_Raw'!F185="","",'01_Forms_Raw'!F185)</f>
        <v/>
      </c>
      <c r="G185" s="2" t="str">
        <f>IF('01_Forms_Raw'!G185="","",'01_Forms_Raw'!G185)</f>
        <v/>
      </c>
      <c r="H185" s="2" t="str">
        <f>IF('01_Forms_Raw'!I185="","",'01_Forms_Raw'!I185)</f>
        <v/>
      </c>
      <c r="I185" s="10" t="str">
        <f>IF('01_Forms_Raw'!J185="","",'01_Forms_Raw'!J185)</f>
        <v/>
      </c>
      <c r="J185" s="2" t="str">
        <f>IF('01_Forms_Raw'!K185="","",VALUE('01_Forms_Raw'!K185))</f>
        <v/>
      </c>
      <c r="K185" s="2" t="str">
        <f>IF('01_Forms_Raw'!L185="","",'01_Forms_Raw'!L185)</f>
        <v/>
      </c>
      <c r="L185" s="2" t="str">
        <f>IF('01_Forms_Raw'!M185="","",'01_Forms_Raw'!M185)</f>
        <v/>
      </c>
      <c r="M185" s="10"/>
      <c r="N185" s="10"/>
      <c r="O185" s="10" t="str">
        <f t="shared" si="30"/>
        <v/>
      </c>
      <c r="P185" s="10" t="str">
        <f t="shared" si="31"/>
        <v/>
      </c>
      <c r="Q185" s="2" t="str">
        <f t="shared" si="32"/>
        <v/>
      </c>
      <c r="R185" s="2" t="str">
        <f t="shared" si="33"/>
        <v/>
      </c>
      <c r="S185" s="10" t="str">
        <f t="shared" si="34"/>
        <v/>
      </c>
      <c r="T185" s="10" t="str">
        <f t="shared" si="35"/>
        <v/>
      </c>
    </row>
    <row r="186" spans="1:20">
      <c r="A186" s="2" t="str">
        <f>IF('01_Forms_Raw'!A186="","",'01_Forms_Raw'!A186)</f>
        <v/>
      </c>
      <c r="B186" s="9" t="str">
        <f>IF('01_Forms_Raw'!B186="","",'01_Forms_Raw'!B186)</f>
        <v/>
      </c>
      <c r="C186" s="9" t="str">
        <f>IF('01_Forms_Raw'!H186="","",'01_Forms_Raw'!H186)</f>
        <v/>
      </c>
      <c r="D186" s="2" t="str">
        <f>IF('01_Forms_Raw'!D186="","",'01_Forms_Raw'!D186)</f>
        <v/>
      </c>
      <c r="E186" s="2" t="str">
        <f>IF('01_Forms_Raw'!E186="","",'01_Forms_Raw'!E186)</f>
        <v/>
      </c>
      <c r="F186" s="2" t="str">
        <f>IF('01_Forms_Raw'!F186="","",'01_Forms_Raw'!F186)</f>
        <v/>
      </c>
      <c r="G186" s="2" t="str">
        <f>IF('01_Forms_Raw'!G186="","",'01_Forms_Raw'!G186)</f>
        <v/>
      </c>
      <c r="H186" s="2" t="str">
        <f>IF('01_Forms_Raw'!I186="","",'01_Forms_Raw'!I186)</f>
        <v/>
      </c>
      <c r="I186" s="10" t="str">
        <f>IF('01_Forms_Raw'!J186="","",'01_Forms_Raw'!J186)</f>
        <v/>
      </c>
      <c r="J186" s="2" t="str">
        <f>IF('01_Forms_Raw'!K186="","",VALUE('01_Forms_Raw'!K186))</f>
        <v/>
      </c>
      <c r="K186" s="2" t="str">
        <f>IF('01_Forms_Raw'!L186="","",'01_Forms_Raw'!L186)</f>
        <v/>
      </c>
      <c r="L186" s="2" t="str">
        <f>IF('01_Forms_Raw'!M186="","",'01_Forms_Raw'!M186)</f>
        <v/>
      </c>
      <c r="M186" s="10"/>
      <c r="N186" s="10"/>
      <c r="O186" s="10" t="str">
        <f t="shared" si="30"/>
        <v/>
      </c>
      <c r="P186" s="10" t="str">
        <f t="shared" si="31"/>
        <v/>
      </c>
      <c r="Q186" s="2" t="str">
        <f t="shared" si="32"/>
        <v/>
      </c>
      <c r="R186" s="2" t="str">
        <f t="shared" si="33"/>
        <v/>
      </c>
      <c r="S186" s="10" t="str">
        <f t="shared" si="34"/>
        <v/>
      </c>
      <c r="T186" s="10" t="str">
        <f t="shared" si="35"/>
        <v/>
      </c>
    </row>
    <row r="187" spans="1:20">
      <c r="A187" s="2" t="str">
        <f>IF('01_Forms_Raw'!A187="","",'01_Forms_Raw'!A187)</f>
        <v/>
      </c>
      <c r="B187" s="9" t="str">
        <f>IF('01_Forms_Raw'!B187="","",'01_Forms_Raw'!B187)</f>
        <v/>
      </c>
      <c r="C187" s="9" t="str">
        <f>IF('01_Forms_Raw'!H187="","",'01_Forms_Raw'!H187)</f>
        <v/>
      </c>
      <c r="D187" s="2" t="str">
        <f>IF('01_Forms_Raw'!D187="","",'01_Forms_Raw'!D187)</f>
        <v/>
      </c>
      <c r="E187" s="2" t="str">
        <f>IF('01_Forms_Raw'!E187="","",'01_Forms_Raw'!E187)</f>
        <v/>
      </c>
      <c r="F187" s="2" t="str">
        <f>IF('01_Forms_Raw'!F187="","",'01_Forms_Raw'!F187)</f>
        <v/>
      </c>
      <c r="G187" s="2" t="str">
        <f>IF('01_Forms_Raw'!G187="","",'01_Forms_Raw'!G187)</f>
        <v/>
      </c>
      <c r="H187" s="2" t="str">
        <f>IF('01_Forms_Raw'!I187="","",'01_Forms_Raw'!I187)</f>
        <v/>
      </c>
      <c r="I187" s="10" t="str">
        <f>IF('01_Forms_Raw'!J187="","",'01_Forms_Raw'!J187)</f>
        <v/>
      </c>
      <c r="J187" s="2" t="str">
        <f>IF('01_Forms_Raw'!K187="","",VALUE('01_Forms_Raw'!K187))</f>
        <v/>
      </c>
      <c r="K187" s="2" t="str">
        <f>IF('01_Forms_Raw'!L187="","",'01_Forms_Raw'!L187)</f>
        <v/>
      </c>
      <c r="L187" s="2" t="str">
        <f>IF('01_Forms_Raw'!M187="","",'01_Forms_Raw'!M187)</f>
        <v/>
      </c>
      <c r="M187" s="10"/>
      <c r="N187" s="10"/>
      <c r="O187" s="10" t="str">
        <f t="shared" si="30"/>
        <v/>
      </c>
      <c r="P187" s="10" t="str">
        <f t="shared" si="31"/>
        <v/>
      </c>
      <c r="Q187" s="2" t="str">
        <f t="shared" si="32"/>
        <v/>
      </c>
      <c r="R187" s="2" t="str">
        <f t="shared" si="33"/>
        <v/>
      </c>
      <c r="S187" s="10" t="str">
        <f t="shared" si="34"/>
        <v/>
      </c>
      <c r="T187" s="10" t="str">
        <f t="shared" si="35"/>
        <v/>
      </c>
    </row>
    <row r="188" spans="1:20">
      <c r="A188" s="2" t="str">
        <f>IF('01_Forms_Raw'!A188="","",'01_Forms_Raw'!A188)</f>
        <v/>
      </c>
      <c r="B188" s="9" t="str">
        <f>IF('01_Forms_Raw'!B188="","",'01_Forms_Raw'!B188)</f>
        <v/>
      </c>
      <c r="C188" s="9" t="str">
        <f>IF('01_Forms_Raw'!H188="","",'01_Forms_Raw'!H188)</f>
        <v/>
      </c>
      <c r="D188" s="2" t="str">
        <f>IF('01_Forms_Raw'!D188="","",'01_Forms_Raw'!D188)</f>
        <v/>
      </c>
      <c r="E188" s="2" t="str">
        <f>IF('01_Forms_Raw'!E188="","",'01_Forms_Raw'!E188)</f>
        <v/>
      </c>
      <c r="F188" s="2" t="str">
        <f>IF('01_Forms_Raw'!F188="","",'01_Forms_Raw'!F188)</f>
        <v/>
      </c>
      <c r="G188" s="2" t="str">
        <f>IF('01_Forms_Raw'!G188="","",'01_Forms_Raw'!G188)</f>
        <v/>
      </c>
      <c r="H188" s="2" t="str">
        <f>IF('01_Forms_Raw'!I188="","",'01_Forms_Raw'!I188)</f>
        <v/>
      </c>
      <c r="I188" s="10" t="str">
        <f>IF('01_Forms_Raw'!J188="","",'01_Forms_Raw'!J188)</f>
        <v/>
      </c>
      <c r="J188" s="2" t="str">
        <f>IF('01_Forms_Raw'!K188="","",VALUE('01_Forms_Raw'!K188))</f>
        <v/>
      </c>
      <c r="K188" s="2" t="str">
        <f>IF('01_Forms_Raw'!L188="","",'01_Forms_Raw'!L188)</f>
        <v/>
      </c>
      <c r="L188" s="2" t="str">
        <f>IF('01_Forms_Raw'!M188="","",'01_Forms_Raw'!M188)</f>
        <v/>
      </c>
      <c r="M188" s="10"/>
      <c r="N188" s="10"/>
      <c r="O188" s="10" t="str">
        <f t="shared" si="30"/>
        <v/>
      </c>
      <c r="P188" s="10" t="str">
        <f t="shared" si="31"/>
        <v/>
      </c>
      <c r="Q188" s="2" t="str">
        <f t="shared" si="32"/>
        <v/>
      </c>
      <c r="R188" s="2" t="str">
        <f t="shared" si="33"/>
        <v/>
      </c>
      <c r="S188" s="10" t="str">
        <f t="shared" si="34"/>
        <v/>
      </c>
      <c r="T188" s="10" t="str">
        <f t="shared" si="35"/>
        <v/>
      </c>
    </row>
    <row r="189" spans="1:20">
      <c r="A189" s="2" t="str">
        <f>IF('01_Forms_Raw'!A189="","",'01_Forms_Raw'!A189)</f>
        <v/>
      </c>
      <c r="B189" s="9" t="str">
        <f>IF('01_Forms_Raw'!B189="","",'01_Forms_Raw'!B189)</f>
        <v/>
      </c>
      <c r="C189" s="9" t="str">
        <f>IF('01_Forms_Raw'!H189="","",'01_Forms_Raw'!H189)</f>
        <v/>
      </c>
      <c r="D189" s="2" t="str">
        <f>IF('01_Forms_Raw'!D189="","",'01_Forms_Raw'!D189)</f>
        <v/>
      </c>
      <c r="E189" s="2" t="str">
        <f>IF('01_Forms_Raw'!E189="","",'01_Forms_Raw'!E189)</f>
        <v/>
      </c>
      <c r="F189" s="2" t="str">
        <f>IF('01_Forms_Raw'!F189="","",'01_Forms_Raw'!F189)</f>
        <v/>
      </c>
      <c r="G189" s="2" t="str">
        <f>IF('01_Forms_Raw'!G189="","",'01_Forms_Raw'!G189)</f>
        <v/>
      </c>
      <c r="H189" s="2" t="str">
        <f>IF('01_Forms_Raw'!I189="","",'01_Forms_Raw'!I189)</f>
        <v/>
      </c>
      <c r="I189" s="10" t="str">
        <f>IF('01_Forms_Raw'!J189="","",'01_Forms_Raw'!J189)</f>
        <v/>
      </c>
      <c r="J189" s="2" t="str">
        <f>IF('01_Forms_Raw'!K189="","",VALUE('01_Forms_Raw'!K189))</f>
        <v/>
      </c>
      <c r="K189" s="2" t="str">
        <f>IF('01_Forms_Raw'!L189="","",'01_Forms_Raw'!L189)</f>
        <v/>
      </c>
      <c r="L189" s="2" t="str">
        <f>IF('01_Forms_Raw'!M189="","",'01_Forms_Raw'!M189)</f>
        <v/>
      </c>
      <c r="M189" s="10"/>
      <c r="N189" s="10"/>
      <c r="O189" s="10" t="str">
        <f t="shared" si="30"/>
        <v/>
      </c>
      <c r="P189" s="10" t="str">
        <f t="shared" si="31"/>
        <v/>
      </c>
      <c r="Q189" s="2" t="str">
        <f t="shared" si="32"/>
        <v/>
      </c>
      <c r="R189" s="2" t="str">
        <f t="shared" si="33"/>
        <v/>
      </c>
      <c r="S189" s="10" t="str">
        <f t="shared" si="34"/>
        <v/>
      </c>
      <c r="T189" s="10" t="str">
        <f t="shared" si="35"/>
        <v/>
      </c>
    </row>
    <row r="190" spans="1:20">
      <c r="A190" s="2" t="str">
        <f>IF('01_Forms_Raw'!A190="","",'01_Forms_Raw'!A190)</f>
        <v/>
      </c>
      <c r="B190" s="9" t="str">
        <f>IF('01_Forms_Raw'!B190="","",'01_Forms_Raw'!B190)</f>
        <v/>
      </c>
      <c r="C190" s="9" t="str">
        <f>IF('01_Forms_Raw'!H190="","",'01_Forms_Raw'!H190)</f>
        <v/>
      </c>
      <c r="D190" s="2" t="str">
        <f>IF('01_Forms_Raw'!D190="","",'01_Forms_Raw'!D190)</f>
        <v/>
      </c>
      <c r="E190" s="2" t="str">
        <f>IF('01_Forms_Raw'!E190="","",'01_Forms_Raw'!E190)</f>
        <v/>
      </c>
      <c r="F190" s="2" t="str">
        <f>IF('01_Forms_Raw'!F190="","",'01_Forms_Raw'!F190)</f>
        <v/>
      </c>
      <c r="G190" s="2" t="str">
        <f>IF('01_Forms_Raw'!G190="","",'01_Forms_Raw'!G190)</f>
        <v/>
      </c>
      <c r="H190" s="2" t="str">
        <f>IF('01_Forms_Raw'!I190="","",'01_Forms_Raw'!I190)</f>
        <v/>
      </c>
      <c r="I190" s="10" t="str">
        <f>IF('01_Forms_Raw'!J190="","",'01_Forms_Raw'!J190)</f>
        <v/>
      </c>
      <c r="J190" s="2" t="str">
        <f>IF('01_Forms_Raw'!K190="","",VALUE('01_Forms_Raw'!K190))</f>
        <v/>
      </c>
      <c r="K190" s="2" t="str">
        <f>IF('01_Forms_Raw'!L190="","",'01_Forms_Raw'!L190)</f>
        <v/>
      </c>
      <c r="L190" s="2" t="str">
        <f>IF('01_Forms_Raw'!M190="","",'01_Forms_Raw'!M190)</f>
        <v/>
      </c>
      <c r="M190" s="10"/>
      <c r="N190" s="10"/>
      <c r="O190" s="10" t="str">
        <f t="shared" si="30"/>
        <v/>
      </c>
      <c r="P190" s="10" t="str">
        <f t="shared" si="31"/>
        <v/>
      </c>
      <c r="Q190" s="2" t="str">
        <f t="shared" si="32"/>
        <v/>
      </c>
      <c r="R190" s="2" t="str">
        <f t="shared" si="33"/>
        <v/>
      </c>
      <c r="S190" s="10" t="str">
        <f t="shared" si="34"/>
        <v/>
      </c>
      <c r="T190" s="10" t="str">
        <f t="shared" si="35"/>
        <v/>
      </c>
    </row>
    <row r="191" spans="1:20">
      <c r="A191" s="2" t="str">
        <f>IF('01_Forms_Raw'!A191="","",'01_Forms_Raw'!A191)</f>
        <v/>
      </c>
      <c r="B191" s="9" t="str">
        <f>IF('01_Forms_Raw'!B191="","",'01_Forms_Raw'!B191)</f>
        <v/>
      </c>
      <c r="C191" s="9" t="str">
        <f>IF('01_Forms_Raw'!H191="","",'01_Forms_Raw'!H191)</f>
        <v/>
      </c>
      <c r="D191" s="2" t="str">
        <f>IF('01_Forms_Raw'!D191="","",'01_Forms_Raw'!D191)</f>
        <v/>
      </c>
      <c r="E191" s="2" t="str">
        <f>IF('01_Forms_Raw'!E191="","",'01_Forms_Raw'!E191)</f>
        <v/>
      </c>
      <c r="F191" s="2" t="str">
        <f>IF('01_Forms_Raw'!F191="","",'01_Forms_Raw'!F191)</f>
        <v/>
      </c>
      <c r="G191" s="2" t="str">
        <f>IF('01_Forms_Raw'!G191="","",'01_Forms_Raw'!G191)</f>
        <v/>
      </c>
      <c r="H191" s="2" t="str">
        <f>IF('01_Forms_Raw'!I191="","",'01_Forms_Raw'!I191)</f>
        <v/>
      </c>
      <c r="I191" s="10" t="str">
        <f>IF('01_Forms_Raw'!J191="","",'01_Forms_Raw'!J191)</f>
        <v/>
      </c>
      <c r="J191" s="2" t="str">
        <f>IF('01_Forms_Raw'!K191="","",VALUE('01_Forms_Raw'!K191))</f>
        <v/>
      </c>
      <c r="K191" s="2" t="str">
        <f>IF('01_Forms_Raw'!L191="","",'01_Forms_Raw'!L191)</f>
        <v/>
      </c>
      <c r="L191" s="2" t="str">
        <f>IF('01_Forms_Raw'!M191="","",'01_Forms_Raw'!M191)</f>
        <v/>
      </c>
      <c r="M191" s="10"/>
      <c r="N191" s="10"/>
      <c r="O191" s="10" t="str">
        <f t="shared" si="30"/>
        <v/>
      </c>
      <c r="P191" s="10" t="str">
        <f t="shared" si="31"/>
        <v/>
      </c>
      <c r="Q191" s="2" t="str">
        <f t="shared" si="32"/>
        <v/>
      </c>
      <c r="R191" s="2" t="str">
        <f t="shared" si="33"/>
        <v/>
      </c>
      <c r="S191" s="10" t="str">
        <f t="shared" si="34"/>
        <v/>
      </c>
      <c r="T191" s="10" t="str">
        <f t="shared" si="35"/>
        <v/>
      </c>
    </row>
    <row r="192" spans="1:20">
      <c r="A192" s="2" t="str">
        <f>IF('01_Forms_Raw'!A192="","",'01_Forms_Raw'!A192)</f>
        <v/>
      </c>
      <c r="B192" s="9" t="str">
        <f>IF('01_Forms_Raw'!B192="","",'01_Forms_Raw'!B192)</f>
        <v/>
      </c>
      <c r="C192" s="9" t="str">
        <f>IF('01_Forms_Raw'!H192="","",'01_Forms_Raw'!H192)</f>
        <v/>
      </c>
      <c r="D192" s="2" t="str">
        <f>IF('01_Forms_Raw'!D192="","",'01_Forms_Raw'!D192)</f>
        <v/>
      </c>
      <c r="E192" s="2" t="str">
        <f>IF('01_Forms_Raw'!E192="","",'01_Forms_Raw'!E192)</f>
        <v/>
      </c>
      <c r="F192" s="2" t="str">
        <f>IF('01_Forms_Raw'!F192="","",'01_Forms_Raw'!F192)</f>
        <v/>
      </c>
      <c r="G192" s="2" t="str">
        <f>IF('01_Forms_Raw'!G192="","",'01_Forms_Raw'!G192)</f>
        <v/>
      </c>
      <c r="H192" s="2" t="str">
        <f>IF('01_Forms_Raw'!I192="","",'01_Forms_Raw'!I192)</f>
        <v/>
      </c>
      <c r="I192" s="10" t="str">
        <f>IF('01_Forms_Raw'!J192="","",'01_Forms_Raw'!J192)</f>
        <v/>
      </c>
      <c r="J192" s="2" t="str">
        <f>IF('01_Forms_Raw'!K192="","",VALUE('01_Forms_Raw'!K192))</f>
        <v/>
      </c>
      <c r="K192" s="2" t="str">
        <f>IF('01_Forms_Raw'!L192="","",'01_Forms_Raw'!L192)</f>
        <v/>
      </c>
      <c r="L192" s="2" t="str">
        <f>IF('01_Forms_Raw'!M192="","",'01_Forms_Raw'!M192)</f>
        <v/>
      </c>
      <c r="M192" s="10"/>
      <c r="N192" s="10"/>
      <c r="O192" s="10" t="str">
        <f t="shared" si="30"/>
        <v/>
      </c>
      <c r="P192" s="10" t="str">
        <f t="shared" si="31"/>
        <v/>
      </c>
      <c r="Q192" s="2" t="str">
        <f t="shared" si="32"/>
        <v/>
      </c>
      <c r="R192" s="2" t="str">
        <f t="shared" si="33"/>
        <v/>
      </c>
      <c r="S192" s="10" t="str">
        <f t="shared" si="34"/>
        <v/>
      </c>
      <c r="T192" s="10" t="str">
        <f t="shared" si="35"/>
        <v/>
      </c>
    </row>
    <row r="193" spans="1:20">
      <c r="A193" s="2" t="str">
        <f>IF('01_Forms_Raw'!A193="","",'01_Forms_Raw'!A193)</f>
        <v/>
      </c>
      <c r="B193" s="9" t="str">
        <f>IF('01_Forms_Raw'!B193="","",'01_Forms_Raw'!B193)</f>
        <v/>
      </c>
      <c r="C193" s="9" t="str">
        <f>IF('01_Forms_Raw'!H193="","",'01_Forms_Raw'!H193)</f>
        <v/>
      </c>
      <c r="D193" s="2" t="str">
        <f>IF('01_Forms_Raw'!D193="","",'01_Forms_Raw'!D193)</f>
        <v/>
      </c>
      <c r="E193" s="2" t="str">
        <f>IF('01_Forms_Raw'!E193="","",'01_Forms_Raw'!E193)</f>
        <v/>
      </c>
      <c r="F193" s="2" t="str">
        <f>IF('01_Forms_Raw'!F193="","",'01_Forms_Raw'!F193)</f>
        <v/>
      </c>
      <c r="G193" s="2" t="str">
        <f>IF('01_Forms_Raw'!G193="","",'01_Forms_Raw'!G193)</f>
        <v/>
      </c>
      <c r="H193" s="2" t="str">
        <f>IF('01_Forms_Raw'!I193="","",'01_Forms_Raw'!I193)</f>
        <v/>
      </c>
      <c r="I193" s="10" t="str">
        <f>IF('01_Forms_Raw'!J193="","",'01_Forms_Raw'!J193)</f>
        <v/>
      </c>
      <c r="J193" s="2" t="str">
        <f>IF('01_Forms_Raw'!K193="","",VALUE('01_Forms_Raw'!K193))</f>
        <v/>
      </c>
      <c r="K193" s="2" t="str">
        <f>IF('01_Forms_Raw'!L193="","",'01_Forms_Raw'!L193)</f>
        <v/>
      </c>
      <c r="L193" s="2" t="str">
        <f>IF('01_Forms_Raw'!M193="","",'01_Forms_Raw'!M193)</f>
        <v/>
      </c>
      <c r="M193" s="10"/>
      <c r="N193" s="10"/>
      <c r="O193" s="10" t="str">
        <f t="shared" si="30"/>
        <v/>
      </c>
      <c r="P193" s="10" t="str">
        <f t="shared" si="31"/>
        <v/>
      </c>
      <c r="Q193" s="2" t="str">
        <f t="shared" si="32"/>
        <v/>
      </c>
      <c r="R193" s="2" t="str">
        <f t="shared" si="33"/>
        <v/>
      </c>
      <c r="S193" s="10" t="str">
        <f t="shared" si="34"/>
        <v/>
      </c>
      <c r="T193" s="10" t="str">
        <f t="shared" si="35"/>
        <v/>
      </c>
    </row>
    <row r="194" spans="1:20">
      <c r="A194" s="2" t="str">
        <f>IF('01_Forms_Raw'!A194="","",'01_Forms_Raw'!A194)</f>
        <v/>
      </c>
      <c r="B194" s="9" t="str">
        <f>IF('01_Forms_Raw'!B194="","",'01_Forms_Raw'!B194)</f>
        <v/>
      </c>
      <c r="C194" s="9" t="str">
        <f>IF('01_Forms_Raw'!H194="","",'01_Forms_Raw'!H194)</f>
        <v/>
      </c>
      <c r="D194" s="2" t="str">
        <f>IF('01_Forms_Raw'!D194="","",'01_Forms_Raw'!D194)</f>
        <v/>
      </c>
      <c r="E194" s="2" t="str">
        <f>IF('01_Forms_Raw'!E194="","",'01_Forms_Raw'!E194)</f>
        <v/>
      </c>
      <c r="F194" s="2" t="str">
        <f>IF('01_Forms_Raw'!F194="","",'01_Forms_Raw'!F194)</f>
        <v/>
      </c>
      <c r="G194" s="2" t="str">
        <f>IF('01_Forms_Raw'!G194="","",'01_Forms_Raw'!G194)</f>
        <v/>
      </c>
      <c r="H194" s="2" t="str">
        <f>IF('01_Forms_Raw'!I194="","",'01_Forms_Raw'!I194)</f>
        <v/>
      </c>
      <c r="I194" s="10" t="str">
        <f>IF('01_Forms_Raw'!J194="","",'01_Forms_Raw'!J194)</f>
        <v/>
      </c>
      <c r="J194" s="2" t="str">
        <f>IF('01_Forms_Raw'!K194="","",VALUE('01_Forms_Raw'!K194))</f>
        <v/>
      </c>
      <c r="K194" s="2" t="str">
        <f>IF('01_Forms_Raw'!L194="","",'01_Forms_Raw'!L194)</f>
        <v/>
      </c>
      <c r="L194" s="2" t="str">
        <f>IF('01_Forms_Raw'!M194="","",'01_Forms_Raw'!M194)</f>
        <v/>
      </c>
      <c r="M194" s="10"/>
      <c r="N194" s="10"/>
      <c r="O194" s="10" t="str">
        <f t="shared" ref="O194:O201" si="36">IF(A194="","",IF(AND(D194&lt;&gt;"",E194&lt;&gt;"",H194&lt;&gt;"",I194&lt;&gt;"",J194&lt;&gt;"",K194&lt;&gt;""),"Completa","Incompleta"))</f>
        <v/>
      </c>
      <c r="P194" s="10" t="str">
        <f t="shared" ref="P194:P201" si="37">IF(A194="","",K194-C194)</f>
        <v/>
      </c>
      <c r="Q194" s="2" t="str">
        <f t="shared" ref="Q194:Q201" si="38">IF(A194="","",IF(P194&lt;3,"Riesgo SLA",IF(P194&lt;7,"Corto","OK")))</f>
        <v/>
      </c>
      <c r="R194" s="2" t="str">
        <f t="shared" ref="R194:R201" si="39">IF(A194="","","OT-UM-"&amp;TEXT(C194,"yyyymm")&amp;"-"&amp;TEXT(A194,"000"))</f>
        <v/>
      </c>
      <c r="S194" s="10" t="str">
        <f t="shared" ref="S194:S201" si="40">IF(A194="","",IF(O194="Completa","Sí","No"))</f>
        <v/>
      </c>
      <c r="T194" s="10" t="str">
        <f t="shared" ref="T194:T201" si="41">IF(A194="","",IF(O194="Completa","Lista para OT","Completar brief antes de pasar a diseño"))</f>
        <v/>
      </c>
    </row>
    <row r="195" spans="1:20">
      <c r="A195" s="2" t="str">
        <f>IF('01_Forms_Raw'!A195="","",'01_Forms_Raw'!A195)</f>
        <v/>
      </c>
      <c r="B195" s="9" t="str">
        <f>IF('01_Forms_Raw'!B195="","",'01_Forms_Raw'!B195)</f>
        <v/>
      </c>
      <c r="C195" s="9" t="str">
        <f>IF('01_Forms_Raw'!H195="","",'01_Forms_Raw'!H195)</f>
        <v/>
      </c>
      <c r="D195" s="2" t="str">
        <f>IF('01_Forms_Raw'!D195="","",'01_Forms_Raw'!D195)</f>
        <v/>
      </c>
      <c r="E195" s="2" t="str">
        <f>IF('01_Forms_Raw'!E195="","",'01_Forms_Raw'!E195)</f>
        <v/>
      </c>
      <c r="F195" s="2" t="str">
        <f>IF('01_Forms_Raw'!F195="","",'01_Forms_Raw'!F195)</f>
        <v/>
      </c>
      <c r="G195" s="2" t="str">
        <f>IF('01_Forms_Raw'!G195="","",'01_Forms_Raw'!G195)</f>
        <v/>
      </c>
      <c r="H195" s="2" t="str">
        <f>IF('01_Forms_Raw'!I195="","",'01_Forms_Raw'!I195)</f>
        <v/>
      </c>
      <c r="I195" s="10" t="str">
        <f>IF('01_Forms_Raw'!J195="","",'01_Forms_Raw'!J195)</f>
        <v/>
      </c>
      <c r="J195" s="2" t="str">
        <f>IF('01_Forms_Raw'!K195="","",VALUE('01_Forms_Raw'!K195))</f>
        <v/>
      </c>
      <c r="K195" s="2" t="str">
        <f>IF('01_Forms_Raw'!L195="","",'01_Forms_Raw'!L195)</f>
        <v/>
      </c>
      <c r="L195" s="2" t="str">
        <f>IF('01_Forms_Raw'!M195="","",'01_Forms_Raw'!M195)</f>
        <v/>
      </c>
      <c r="M195" s="10"/>
      <c r="N195" s="10"/>
      <c r="O195" s="10" t="str">
        <f t="shared" si="36"/>
        <v/>
      </c>
      <c r="P195" s="10" t="str">
        <f t="shared" si="37"/>
        <v/>
      </c>
      <c r="Q195" s="2" t="str">
        <f t="shared" si="38"/>
        <v/>
      </c>
      <c r="R195" s="2" t="str">
        <f t="shared" si="39"/>
        <v/>
      </c>
      <c r="S195" s="10" t="str">
        <f t="shared" si="40"/>
        <v/>
      </c>
      <c r="T195" s="10" t="str">
        <f t="shared" si="41"/>
        <v/>
      </c>
    </row>
    <row r="196" spans="1:20">
      <c r="A196" s="2" t="str">
        <f>IF('01_Forms_Raw'!A196="","",'01_Forms_Raw'!A196)</f>
        <v/>
      </c>
      <c r="B196" s="9" t="str">
        <f>IF('01_Forms_Raw'!B196="","",'01_Forms_Raw'!B196)</f>
        <v/>
      </c>
      <c r="C196" s="9" t="str">
        <f>IF('01_Forms_Raw'!H196="","",'01_Forms_Raw'!H196)</f>
        <v/>
      </c>
      <c r="D196" s="2" t="str">
        <f>IF('01_Forms_Raw'!D196="","",'01_Forms_Raw'!D196)</f>
        <v/>
      </c>
      <c r="E196" s="2" t="str">
        <f>IF('01_Forms_Raw'!E196="","",'01_Forms_Raw'!E196)</f>
        <v/>
      </c>
      <c r="F196" s="2" t="str">
        <f>IF('01_Forms_Raw'!F196="","",'01_Forms_Raw'!F196)</f>
        <v/>
      </c>
      <c r="G196" s="2" t="str">
        <f>IF('01_Forms_Raw'!G196="","",'01_Forms_Raw'!G196)</f>
        <v/>
      </c>
      <c r="H196" s="2" t="str">
        <f>IF('01_Forms_Raw'!I196="","",'01_Forms_Raw'!I196)</f>
        <v/>
      </c>
      <c r="I196" s="10" t="str">
        <f>IF('01_Forms_Raw'!J196="","",'01_Forms_Raw'!J196)</f>
        <v/>
      </c>
      <c r="J196" s="2" t="str">
        <f>IF('01_Forms_Raw'!K196="","",VALUE('01_Forms_Raw'!K196))</f>
        <v/>
      </c>
      <c r="K196" s="2" t="str">
        <f>IF('01_Forms_Raw'!L196="","",'01_Forms_Raw'!L196)</f>
        <v/>
      </c>
      <c r="L196" s="2" t="str">
        <f>IF('01_Forms_Raw'!M196="","",'01_Forms_Raw'!M196)</f>
        <v/>
      </c>
      <c r="M196" s="10"/>
      <c r="N196" s="10"/>
      <c r="O196" s="10" t="str">
        <f t="shared" si="36"/>
        <v/>
      </c>
      <c r="P196" s="10" t="str">
        <f t="shared" si="37"/>
        <v/>
      </c>
      <c r="Q196" s="2" t="str">
        <f t="shared" si="38"/>
        <v/>
      </c>
      <c r="R196" s="2" t="str">
        <f t="shared" si="39"/>
        <v/>
      </c>
      <c r="S196" s="10" t="str">
        <f t="shared" si="40"/>
        <v/>
      </c>
      <c r="T196" s="10" t="str">
        <f t="shared" si="41"/>
        <v/>
      </c>
    </row>
    <row r="197" spans="1:20">
      <c r="A197" s="2" t="str">
        <f>IF('01_Forms_Raw'!A197="","",'01_Forms_Raw'!A197)</f>
        <v/>
      </c>
      <c r="B197" s="9" t="str">
        <f>IF('01_Forms_Raw'!B197="","",'01_Forms_Raw'!B197)</f>
        <v/>
      </c>
      <c r="C197" s="9" t="str">
        <f>IF('01_Forms_Raw'!H197="","",'01_Forms_Raw'!H197)</f>
        <v/>
      </c>
      <c r="D197" s="2" t="str">
        <f>IF('01_Forms_Raw'!D197="","",'01_Forms_Raw'!D197)</f>
        <v/>
      </c>
      <c r="E197" s="2" t="str">
        <f>IF('01_Forms_Raw'!E197="","",'01_Forms_Raw'!E197)</f>
        <v/>
      </c>
      <c r="F197" s="2" t="str">
        <f>IF('01_Forms_Raw'!F197="","",'01_Forms_Raw'!F197)</f>
        <v/>
      </c>
      <c r="G197" s="2" t="str">
        <f>IF('01_Forms_Raw'!G197="","",'01_Forms_Raw'!G197)</f>
        <v/>
      </c>
      <c r="H197" s="2" t="str">
        <f>IF('01_Forms_Raw'!I197="","",'01_Forms_Raw'!I197)</f>
        <v/>
      </c>
      <c r="I197" s="10" t="str">
        <f>IF('01_Forms_Raw'!J197="","",'01_Forms_Raw'!J197)</f>
        <v/>
      </c>
      <c r="J197" s="2" t="str">
        <f>IF('01_Forms_Raw'!K197="","",VALUE('01_Forms_Raw'!K197))</f>
        <v/>
      </c>
      <c r="K197" s="2" t="str">
        <f>IF('01_Forms_Raw'!L197="","",'01_Forms_Raw'!L197)</f>
        <v/>
      </c>
      <c r="L197" s="2" t="str">
        <f>IF('01_Forms_Raw'!M197="","",'01_Forms_Raw'!M197)</f>
        <v/>
      </c>
      <c r="M197" s="10"/>
      <c r="N197" s="10"/>
      <c r="O197" s="10" t="str">
        <f t="shared" si="36"/>
        <v/>
      </c>
      <c r="P197" s="10" t="str">
        <f t="shared" si="37"/>
        <v/>
      </c>
      <c r="Q197" s="2" t="str">
        <f t="shared" si="38"/>
        <v/>
      </c>
      <c r="R197" s="2" t="str">
        <f t="shared" si="39"/>
        <v/>
      </c>
      <c r="S197" s="10" t="str">
        <f t="shared" si="40"/>
        <v/>
      </c>
      <c r="T197" s="10" t="str">
        <f t="shared" si="41"/>
        <v/>
      </c>
    </row>
    <row r="198" spans="1:20">
      <c r="A198" s="2" t="str">
        <f>IF('01_Forms_Raw'!A198="","",'01_Forms_Raw'!A198)</f>
        <v/>
      </c>
      <c r="B198" s="9" t="str">
        <f>IF('01_Forms_Raw'!B198="","",'01_Forms_Raw'!B198)</f>
        <v/>
      </c>
      <c r="C198" s="9" t="str">
        <f>IF('01_Forms_Raw'!H198="","",'01_Forms_Raw'!H198)</f>
        <v/>
      </c>
      <c r="D198" s="2" t="str">
        <f>IF('01_Forms_Raw'!D198="","",'01_Forms_Raw'!D198)</f>
        <v/>
      </c>
      <c r="E198" s="2" t="str">
        <f>IF('01_Forms_Raw'!E198="","",'01_Forms_Raw'!E198)</f>
        <v/>
      </c>
      <c r="F198" s="2" t="str">
        <f>IF('01_Forms_Raw'!F198="","",'01_Forms_Raw'!F198)</f>
        <v/>
      </c>
      <c r="G198" s="2" t="str">
        <f>IF('01_Forms_Raw'!G198="","",'01_Forms_Raw'!G198)</f>
        <v/>
      </c>
      <c r="H198" s="2" t="str">
        <f>IF('01_Forms_Raw'!I198="","",'01_Forms_Raw'!I198)</f>
        <v/>
      </c>
      <c r="I198" s="10" t="str">
        <f>IF('01_Forms_Raw'!J198="","",'01_Forms_Raw'!J198)</f>
        <v/>
      </c>
      <c r="J198" s="2" t="str">
        <f>IF('01_Forms_Raw'!K198="","",VALUE('01_Forms_Raw'!K198))</f>
        <v/>
      </c>
      <c r="K198" s="2" t="str">
        <f>IF('01_Forms_Raw'!L198="","",'01_Forms_Raw'!L198)</f>
        <v/>
      </c>
      <c r="L198" s="2" t="str">
        <f>IF('01_Forms_Raw'!M198="","",'01_Forms_Raw'!M198)</f>
        <v/>
      </c>
      <c r="M198" s="10"/>
      <c r="N198" s="10"/>
      <c r="O198" s="10" t="str">
        <f t="shared" si="36"/>
        <v/>
      </c>
      <c r="P198" s="10" t="str">
        <f t="shared" si="37"/>
        <v/>
      </c>
      <c r="Q198" s="2" t="str">
        <f t="shared" si="38"/>
        <v/>
      </c>
      <c r="R198" s="2" t="str">
        <f t="shared" si="39"/>
        <v/>
      </c>
      <c r="S198" s="10" t="str">
        <f t="shared" si="40"/>
        <v/>
      </c>
      <c r="T198" s="10" t="str">
        <f t="shared" si="41"/>
        <v/>
      </c>
    </row>
    <row r="199" spans="1:20">
      <c r="A199" s="2" t="str">
        <f>IF('01_Forms_Raw'!A199="","",'01_Forms_Raw'!A199)</f>
        <v/>
      </c>
      <c r="B199" s="9" t="str">
        <f>IF('01_Forms_Raw'!B199="","",'01_Forms_Raw'!B199)</f>
        <v/>
      </c>
      <c r="C199" s="9" t="str">
        <f>IF('01_Forms_Raw'!H199="","",'01_Forms_Raw'!H199)</f>
        <v/>
      </c>
      <c r="D199" s="2" t="str">
        <f>IF('01_Forms_Raw'!D199="","",'01_Forms_Raw'!D199)</f>
        <v/>
      </c>
      <c r="E199" s="2" t="str">
        <f>IF('01_Forms_Raw'!E199="","",'01_Forms_Raw'!E199)</f>
        <v/>
      </c>
      <c r="F199" s="2" t="str">
        <f>IF('01_Forms_Raw'!F199="","",'01_Forms_Raw'!F199)</f>
        <v/>
      </c>
      <c r="G199" s="2" t="str">
        <f>IF('01_Forms_Raw'!G199="","",'01_Forms_Raw'!G199)</f>
        <v/>
      </c>
      <c r="H199" s="2" t="str">
        <f>IF('01_Forms_Raw'!I199="","",'01_Forms_Raw'!I199)</f>
        <v/>
      </c>
      <c r="I199" s="10" t="str">
        <f>IF('01_Forms_Raw'!J199="","",'01_Forms_Raw'!J199)</f>
        <v/>
      </c>
      <c r="J199" s="2" t="str">
        <f>IF('01_Forms_Raw'!K199="","",VALUE('01_Forms_Raw'!K199))</f>
        <v/>
      </c>
      <c r="K199" s="2" t="str">
        <f>IF('01_Forms_Raw'!L199="","",'01_Forms_Raw'!L199)</f>
        <v/>
      </c>
      <c r="L199" s="2" t="str">
        <f>IF('01_Forms_Raw'!M199="","",'01_Forms_Raw'!M199)</f>
        <v/>
      </c>
      <c r="M199" s="10"/>
      <c r="N199" s="10"/>
      <c r="O199" s="10" t="str">
        <f t="shared" si="36"/>
        <v/>
      </c>
      <c r="P199" s="10" t="str">
        <f t="shared" si="37"/>
        <v/>
      </c>
      <c r="Q199" s="2" t="str">
        <f t="shared" si="38"/>
        <v/>
      </c>
      <c r="R199" s="2" t="str">
        <f t="shared" si="39"/>
        <v/>
      </c>
      <c r="S199" s="10" t="str">
        <f t="shared" si="40"/>
        <v/>
      </c>
      <c r="T199" s="10" t="str">
        <f t="shared" si="41"/>
        <v/>
      </c>
    </row>
    <row r="200" spans="1:20">
      <c r="A200" s="2" t="str">
        <f>IF('01_Forms_Raw'!A200="","",'01_Forms_Raw'!A200)</f>
        <v/>
      </c>
      <c r="B200" s="9" t="str">
        <f>IF('01_Forms_Raw'!B200="","",'01_Forms_Raw'!B200)</f>
        <v/>
      </c>
      <c r="C200" s="9" t="str">
        <f>IF('01_Forms_Raw'!H200="","",'01_Forms_Raw'!H200)</f>
        <v/>
      </c>
      <c r="D200" s="2" t="str">
        <f>IF('01_Forms_Raw'!D200="","",'01_Forms_Raw'!D200)</f>
        <v/>
      </c>
      <c r="E200" s="2" t="str">
        <f>IF('01_Forms_Raw'!E200="","",'01_Forms_Raw'!E200)</f>
        <v/>
      </c>
      <c r="F200" s="2" t="str">
        <f>IF('01_Forms_Raw'!F200="","",'01_Forms_Raw'!F200)</f>
        <v/>
      </c>
      <c r="G200" s="2" t="str">
        <f>IF('01_Forms_Raw'!G200="","",'01_Forms_Raw'!G200)</f>
        <v/>
      </c>
      <c r="H200" s="2" t="str">
        <f>IF('01_Forms_Raw'!I200="","",'01_Forms_Raw'!I200)</f>
        <v/>
      </c>
      <c r="I200" s="10" t="str">
        <f>IF('01_Forms_Raw'!J200="","",'01_Forms_Raw'!J200)</f>
        <v/>
      </c>
      <c r="J200" s="2" t="str">
        <f>IF('01_Forms_Raw'!K200="","",VALUE('01_Forms_Raw'!K200))</f>
        <v/>
      </c>
      <c r="K200" s="2" t="str">
        <f>IF('01_Forms_Raw'!L200="","",'01_Forms_Raw'!L200)</f>
        <v/>
      </c>
      <c r="L200" s="2" t="str">
        <f>IF('01_Forms_Raw'!M200="","",'01_Forms_Raw'!M200)</f>
        <v/>
      </c>
      <c r="M200" s="10"/>
      <c r="N200" s="10"/>
      <c r="O200" s="10" t="str">
        <f t="shared" si="36"/>
        <v/>
      </c>
      <c r="P200" s="10" t="str">
        <f t="shared" si="37"/>
        <v/>
      </c>
      <c r="Q200" s="2" t="str">
        <f t="shared" si="38"/>
        <v/>
      </c>
      <c r="R200" s="2" t="str">
        <f t="shared" si="39"/>
        <v/>
      </c>
      <c r="S200" s="10" t="str">
        <f t="shared" si="40"/>
        <v/>
      </c>
      <c r="T200" s="10" t="str">
        <f t="shared" si="41"/>
        <v/>
      </c>
    </row>
    <row r="201" spans="1:20">
      <c r="A201" s="2" t="str">
        <f>IF('01_Forms_Raw'!A201="","",'01_Forms_Raw'!A201)</f>
        <v/>
      </c>
      <c r="B201" s="9" t="str">
        <f>IF('01_Forms_Raw'!B201="","",'01_Forms_Raw'!B201)</f>
        <v/>
      </c>
      <c r="C201" s="9" t="str">
        <f>IF('01_Forms_Raw'!H201="","",'01_Forms_Raw'!H201)</f>
        <v/>
      </c>
      <c r="D201" s="2" t="str">
        <f>IF('01_Forms_Raw'!D201="","",'01_Forms_Raw'!D201)</f>
        <v/>
      </c>
      <c r="E201" s="2" t="str">
        <f>IF('01_Forms_Raw'!E201="","",'01_Forms_Raw'!E201)</f>
        <v/>
      </c>
      <c r="F201" s="2" t="str">
        <f>IF('01_Forms_Raw'!F201="","",'01_Forms_Raw'!F201)</f>
        <v/>
      </c>
      <c r="G201" s="2" t="str">
        <f>IF('01_Forms_Raw'!G201="","",'01_Forms_Raw'!G201)</f>
        <v/>
      </c>
      <c r="H201" s="2" t="str">
        <f>IF('01_Forms_Raw'!I201="","",'01_Forms_Raw'!I201)</f>
        <v/>
      </c>
      <c r="I201" s="10" t="str">
        <f>IF('01_Forms_Raw'!J201="","",'01_Forms_Raw'!J201)</f>
        <v/>
      </c>
      <c r="J201" s="2" t="str">
        <f>IF('01_Forms_Raw'!K201="","",VALUE('01_Forms_Raw'!K201))</f>
        <v/>
      </c>
      <c r="K201" s="2" t="str">
        <f>IF('01_Forms_Raw'!L201="","",'01_Forms_Raw'!L201)</f>
        <v/>
      </c>
      <c r="L201" s="2" t="str">
        <f>IF('01_Forms_Raw'!M201="","",'01_Forms_Raw'!M201)</f>
        <v/>
      </c>
      <c r="M201" s="10"/>
      <c r="N201" s="10"/>
      <c r="O201" s="10" t="str">
        <f t="shared" si="36"/>
        <v/>
      </c>
      <c r="P201" s="10" t="str">
        <f t="shared" si="37"/>
        <v/>
      </c>
      <c r="Q201" s="2" t="str">
        <f t="shared" si="38"/>
        <v/>
      </c>
      <c r="R201" s="2" t="str">
        <f t="shared" si="39"/>
        <v/>
      </c>
      <c r="S201" s="10" t="str">
        <f t="shared" si="40"/>
        <v/>
      </c>
      <c r="T201" s="10" t="str">
        <f t="shared" si="41"/>
        <v/>
      </c>
    </row>
  </sheetData>
  <conditionalFormatting sqref="O2:O201">
    <cfRule type="expression" dxfId="7" priority="1">
      <formula>$O2="Incompleta"</formula>
    </cfRule>
  </conditionalFormatting>
  <conditionalFormatting sqref="Q2:Q201">
    <cfRule type="expression" dxfId="6" priority="2">
      <formula>$Q2="Riesgo SLA"</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200-000000000000}">
          <x14:formula1>
            <xm:f>'05_Catalogos'!$C$2:$C$4</xm:f>
          </x14:formula1>
          <xm:sqref>M2:M201</xm:sqref>
        </x14:dataValidation>
        <x14:dataValidation type="list" xr:uid="{00000000-0002-0000-0200-000001000000}">
          <x14:formula1>
            <xm:f>'05_Catalogos'!$L$2:$L$8</xm:f>
          </x14:formula1>
          <xm:sqref>N2:N201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203"/>
  <sheetViews>
    <sheetView tabSelected="1" topLeftCell="R24" zoomScale="55" zoomScaleNormal="55" workbookViewId="0">
      <pane activePane="bottomRight" state="frozen"/>
      <selection activeCell="Z25" sqref="Z25"/>
    </sheetView>
  </sheetViews>
  <sheetFormatPr defaultRowHeight="14"/>
  <cols>
    <col min="1" max="1" width="19.58203125" style="28" customWidth="1"/>
    <col min="2" max="2" width="8.1640625" style="29" bestFit="1" customWidth="1"/>
    <col min="3" max="6" width="15" style="28" customWidth="1"/>
    <col min="7" max="7" width="35" style="28" customWidth="1"/>
    <col min="8" max="8" width="13.6640625" style="28" customWidth="1"/>
    <col min="9" max="9" width="15" style="29" customWidth="1"/>
    <col min="10" max="10" width="15" style="28" customWidth="1"/>
    <col min="11" max="11" width="14.5" style="28" bestFit="1" customWidth="1"/>
    <col min="12" max="12" width="10.4140625" style="28" customWidth="1"/>
    <col min="13" max="13" width="18.75" style="28" customWidth="1"/>
    <col min="14" max="14" width="12.83203125" style="29" customWidth="1"/>
    <col min="15" max="15" width="15" style="28" customWidth="1"/>
    <col min="16" max="16" width="22.4140625" style="29" customWidth="1"/>
    <col min="17" max="17" width="15" style="28" customWidth="1"/>
    <col min="18" max="18" width="15" style="29" customWidth="1"/>
    <col min="19" max="19" width="15" style="28" customWidth="1"/>
    <col min="20" max="20" width="14.25" style="28" customWidth="1"/>
    <col min="21" max="21" width="15" style="28" customWidth="1"/>
    <col min="22" max="22" width="25.4140625" style="28" customWidth="1"/>
    <col min="23" max="23" width="9.9140625" style="29" customWidth="1"/>
    <col min="24" max="24" width="16.6640625" style="28" customWidth="1"/>
    <col min="25" max="26" width="15" style="28" customWidth="1"/>
    <col min="27" max="29" width="15" style="29" customWidth="1"/>
    <col min="30" max="30" width="43.25" style="28" bestFit="1" customWidth="1"/>
    <col min="31" max="31" width="15" style="28" customWidth="1"/>
    <col min="32" max="32" width="15" style="29" customWidth="1"/>
    <col min="33" max="34" width="15" style="28" customWidth="1"/>
    <col min="35" max="37" width="15" style="29" customWidth="1"/>
    <col min="38" max="38" width="35" style="28" customWidth="1"/>
    <col min="39" max="16384" width="8.6640625" style="28"/>
  </cols>
  <sheetData>
    <row r="1" spans="1:47" ht="15" customHeight="1">
      <c r="A1" s="53" t="s">
        <v>115</v>
      </c>
      <c r="B1" s="53"/>
      <c r="C1" s="53"/>
      <c r="D1" s="53"/>
      <c r="E1" s="53"/>
      <c r="F1" s="53"/>
      <c r="G1" s="53"/>
      <c r="H1" s="53"/>
      <c r="I1" s="53"/>
      <c r="J1" s="53"/>
      <c r="K1" s="53"/>
      <c r="L1" s="53"/>
      <c r="M1" s="53"/>
      <c r="N1" s="53"/>
      <c r="O1" s="54"/>
      <c r="P1" s="55"/>
      <c r="Q1" s="26"/>
      <c r="R1" s="25"/>
      <c r="S1" s="26"/>
      <c r="T1" s="26"/>
      <c r="U1" s="26"/>
      <c r="V1" s="26"/>
      <c r="W1" s="25"/>
      <c r="X1" s="26"/>
      <c r="Y1" s="24"/>
      <c r="Z1" s="24"/>
      <c r="AA1" s="36"/>
      <c r="AB1" s="27"/>
      <c r="AC1" s="25"/>
      <c r="AD1" s="26"/>
      <c r="AE1" s="24"/>
      <c r="AF1" s="36"/>
      <c r="AG1" s="24"/>
      <c r="AH1" s="27"/>
      <c r="AI1" s="27"/>
      <c r="AJ1" s="25"/>
      <c r="AK1" s="25"/>
      <c r="AL1" s="26"/>
      <c r="AM1" s="26"/>
      <c r="AN1" s="26"/>
      <c r="AO1" s="26"/>
      <c r="AP1" s="26"/>
      <c r="AQ1" s="26"/>
      <c r="AR1" s="26"/>
      <c r="AS1" s="26"/>
      <c r="AT1" s="26"/>
      <c r="AU1" s="26"/>
    </row>
    <row r="2" spans="1:47">
      <c r="A2" s="56" t="s">
        <v>116</v>
      </c>
      <c r="B2" s="56"/>
      <c r="C2" s="56"/>
      <c r="D2" s="56"/>
      <c r="E2" s="56"/>
      <c r="F2" s="56"/>
      <c r="G2" s="56"/>
      <c r="H2" s="56"/>
      <c r="I2" s="56"/>
      <c r="J2" s="56"/>
      <c r="K2" s="56"/>
      <c r="L2" s="56"/>
      <c r="M2" s="56"/>
      <c r="N2" s="56"/>
      <c r="O2" s="57"/>
      <c r="P2" s="58"/>
      <c r="AH2" s="44"/>
    </row>
    <row r="3" spans="1:47" ht="69.5" customHeight="1">
      <c r="A3" s="1" t="s">
        <v>110</v>
      </c>
      <c r="B3" s="1" t="s">
        <v>94</v>
      </c>
      <c r="C3" s="1" t="s">
        <v>96</v>
      </c>
      <c r="D3" s="1" t="s">
        <v>97</v>
      </c>
      <c r="E3" s="1" t="s">
        <v>98</v>
      </c>
      <c r="F3" s="1" t="s">
        <v>99</v>
      </c>
      <c r="G3" s="1" t="s">
        <v>100</v>
      </c>
      <c r="H3" s="12" t="s">
        <v>101</v>
      </c>
      <c r="I3" s="1" t="s">
        <v>102</v>
      </c>
      <c r="J3" s="1" t="s">
        <v>105</v>
      </c>
      <c r="K3" s="1" t="s">
        <v>103</v>
      </c>
      <c r="L3" s="1" t="s">
        <v>118</v>
      </c>
      <c r="M3" s="1" t="s">
        <v>119</v>
      </c>
      <c r="N3" s="1" t="s">
        <v>120</v>
      </c>
      <c r="O3" s="1" t="s">
        <v>267</v>
      </c>
      <c r="P3" s="1" t="s">
        <v>122</v>
      </c>
      <c r="Q3" s="1" t="s">
        <v>254</v>
      </c>
      <c r="R3" s="1" t="s">
        <v>257</v>
      </c>
      <c r="S3" s="1" t="s">
        <v>123</v>
      </c>
      <c r="T3" s="1" t="s">
        <v>124</v>
      </c>
      <c r="U3" s="1" t="s">
        <v>125</v>
      </c>
      <c r="V3" s="1" t="s">
        <v>126</v>
      </c>
      <c r="W3" s="1" t="s">
        <v>127</v>
      </c>
      <c r="X3" s="1" t="s">
        <v>128</v>
      </c>
      <c r="Y3" s="1" t="s">
        <v>129</v>
      </c>
      <c r="Z3" s="1" t="s">
        <v>130</v>
      </c>
      <c r="AA3" s="1" t="s">
        <v>131</v>
      </c>
      <c r="AB3" s="1" t="s">
        <v>281</v>
      </c>
      <c r="AC3" s="1" t="s">
        <v>290</v>
      </c>
      <c r="AD3" s="1" t="s">
        <v>134</v>
      </c>
      <c r="AE3" s="1" t="s">
        <v>135</v>
      </c>
      <c r="AF3" s="1" t="s">
        <v>136</v>
      </c>
      <c r="AG3" s="1" t="s">
        <v>137</v>
      </c>
      <c r="AH3" s="1" t="s">
        <v>117</v>
      </c>
      <c r="AI3" s="1" t="s">
        <v>138</v>
      </c>
      <c r="AJ3" s="1" t="s">
        <v>139</v>
      </c>
      <c r="AK3" s="1" t="s">
        <v>422</v>
      </c>
      <c r="AL3" s="1" t="s">
        <v>140</v>
      </c>
    </row>
    <row r="4" spans="1:47" ht="138" customHeight="1">
      <c r="A4" s="23" t="str">
        <f>IF('02_Base_Solicitudes'!A2="","",'02_Base_Solicitudes'!R2)</f>
        <v>OT-UM-202606-001</v>
      </c>
      <c r="B4" s="30">
        <f>IF('02_Base_Solicitudes'!A2="","",'02_Base_Solicitudes'!A2)</f>
        <v>1</v>
      </c>
      <c r="C4" s="31">
        <f>IF('02_Base_Solicitudes'!A2="","",'02_Base_Solicitudes'!C2)</f>
        <v>46185</v>
      </c>
      <c r="D4" s="23" t="str">
        <f>IF('02_Base_Solicitudes'!A2="","",'02_Base_Solicitudes'!D2)</f>
        <v>Rectoria - Comunicaciones y Mercadeo</v>
      </c>
      <c r="E4" s="23" t="str">
        <f>IF('02_Base_Solicitudes'!A2="","",'02_Base_Solicitudes'!E2)</f>
        <v>Camilo Robledo</v>
      </c>
      <c r="F4" s="23" t="str">
        <f>IF('02_Base_Solicitudes'!A2="","",'02_Base_Solicitudes'!G2)</f>
        <v>coordinadordecontenidos@unimetro.edu.co</v>
      </c>
      <c r="G4" s="23" t="str">
        <f>IF('02_Base_Solicitudes'!A2="","",'02_Base_Solicitudes'!H2)</f>
        <v>Miniblocks - Mercadeo / pieza promocional unimetro</v>
      </c>
      <c r="H4" s="32" t="str">
        <f>IF('02_Base_Solicitudes'!A2="","",'02_Base_Solicitudes'!I2)</f>
        <v>MiniBlocks</v>
      </c>
      <c r="I4" s="30">
        <f>IF('02_Base_Solicitudes'!A2="","",'02_Base_Solicitudes'!J2)</f>
        <v>750</v>
      </c>
      <c r="J4" s="23" t="str">
        <f>IF('02_Base_Solicitudes'!A2="","",'02_Base_Solicitudes'!M2)</f>
        <v>Normal</v>
      </c>
      <c r="K4" s="33">
        <f>IF('02_Base_Solicitudes'!A2="","",'02_Base_Solicitudes'!K2)</f>
        <v>46233</v>
      </c>
      <c r="L4" s="19" t="str">
        <f t="shared" ref="L4:L35" si="0">IF($A4="","","Julio Rivera")</f>
        <v>Julio Rivera</v>
      </c>
      <c r="M4" s="19" t="s">
        <v>24</v>
      </c>
      <c r="N4" s="34" t="s">
        <v>174</v>
      </c>
      <c r="O4" s="35">
        <v>46167</v>
      </c>
      <c r="P4" s="34" t="s">
        <v>253</v>
      </c>
      <c r="Q4" s="34" t="s">
        <v>174</v>
      </c>
      <c r="R4" s="34" t="s">
        <v>258</v>
      </c>
      <c r="S4" s="19" t="s">
        <v>197</v>
      </c>
      <c r="T4" s="19" t="s">
        <v>171</v>
      </c>
      <c r="U4" s="19" t="s">
        <v>216</v>
      </c>
      <c r="V4" s="19" t="s">
        <v>170</v>
      </c>
      <c r="W4" s="34" t="s">
        <v>174</v>
      </c>
      <c r="X4" s="34" t="s">
        <v>186</v>
      </c>
      <c r="Y4" s="40">
        <v>46161</v>
      </c>
      <c r="Z4" s="35">
        <v>46233</v>
      </c>
      <c r="AA4" s="34">
        <f>40+270+270+170</f>
        <v>750</v>
      </c>
      <c r="AB4" s="34">
        <f>OTMaestraTable[[#This Row],[Cantidad producida]]</f>
        <v>750</v>
      </c>
      <c r="AC4" s="34" t="s">
        <v>174</v>
      </c>
      <c r="AD4" s="19" t="s">
        <v>304</v>
      </c>
      <c r="AE4" s="35">
        <v>46234</v>
      </c>
      <c r="AF4" s="34" t="str">
        <f>OTMaestraTable[[#This Row],[Solicitante]]</f>
        <v>Camilo Robledo</v>
      </c>
      <c r="AG4" s="35">
        <v>46233</v>
      </c>
      <c r="AH4" s="19" t="s">
        <v>220</v>
      </c>
      <c r="AI4" s="30">
        <f t="shared" ref="AI4:AI35" si="1">IF(AND(C4&lt;&gt;"",AG4&lt;&gt;""),AG4-C4,"")</f>
        <v>48</v>
      </c>
      <c r="AJ4" s="30" t="str">
        <f t="shared" ref="AJ4:AJ35" si="2">IF(A4="","",IF(AND(AG4&lt;&gt;"",K4&lt;&gt;""),IF(AG4&lt;=K4,"Sí","No"),"Pendiente"))</f>
        <v>Sí</v>
      </c>
      <c r="AK4" s="30" t="str">
        <f t="shared" ref="AK4:AK35" si="3">IF(A4="","",IF(AND($AH4="Cerrada",OR($AE4="",$AF4="",$AG4="")),"⚠ Cerrada incompleta",IF(AND($AH4&lt;&gt;"Cerrada",$AG4&lt;&gt;""),"⚠ Fecha cierre con estado abierto","OK")))</f>
        <v>OK</v>
      </c>
      <c r="AL4" s="19" t="s">
        <v>302</v>
      </c>
    </row>
    <row r="5" spans="1:47" ht="182" customHeight="1">
      <c r="A5" s="23" t="str">
        <f>IF('02_Base_Solicitudes'!A3="","",'02_Base_Solicitudes'!R3)</f>
        <v>OT-UM-202606-002</v>
      </c>
      <c r="B5" s="30">
        <f>IF('02_Base_Solicitudes'!A3="","",'02_Base_Solicitudes'!A3)</f>
        <v>2</v>
      </c>
      <c r="C5" s="31">
        <f>IF('02_Base_Solicitudes'!A3="","",'02_Base_Solicitudes'!C3)</f>
        <v>46185</v>
      </c>
      <c r="D5" s="23" t="str">
        <f>IF('02_Base_Solicitudes'!A3="","",'02_Base_Solicitudes'!D3)</f>
        <v>Rectoria - Comunicaciones y Mercadeo</v>
      </c>
      <c r="E5" s="23" t="str">
        <f>IF('02_Base_Solicitudes'!A3="","",'02_Base_Solicitudes'!E3)</f>
        <v>Camilo Robledo</v>
      </c>
      <c r="F5" s="23" t="str">
        <f>IF('02_Base_Solicitudes'!A3="","",'02_Base_Solicitudes'!G3)</f>
        <v>coordinadordecontenidos@unimetro.edu.co</v>
      </c>
      <c r="G5" s="23" t="str">
        <f>IF('02_Base_Solicitudes'!A3="","",'02_Base_Solicitudes'!H3)</f>
        <v>Memos - pieza de mercadeo para el area de comunicaciones</v>
      </c>
      <c r="H5" s="32" t="str">
        <f>IF('02_Base_Solicitudes'!A3="","",'02_Base_Solicitudes'!I3)</f>
        <v>Memos</v>
      </c>
      <c r="I5" s="30">
        <f>IF('02_Base_Solicitudes'!A3="","",'02_Base_Solicitudes'!J3)</f>
        <v>570</v>
      </c>
      <c r="J5" s="23" t="str">
        <f>IF('02_Base_Solicitudes'!A3="","",'02_Base_Solicitudes'!M3)</f>
        <v>Normal</v>
      </c>
      <c r="K5" s="33">
        <f>IF('02_Base_Solicitudes'!A3="","",'02_Base_Solicitudes'!K3)</f>
        <v>46310</v>
      </c>
      <c r="L5" s="19" t="str">
        <f t="shared" si="0"/>
        <v>Julio Rivera</v>
      </c>
      <c r="M5" s="19" t="s">
        <v>24</v>
      </c>
      <c r="N5" s="34" t="s">
        <v>174</v>
      </c>
      <c r="O5" s="35">
        <v>46167</v>
      </c>
      <c r="P5" s="34" t="s">
        <v>253</v>
      </c>
      <c r="Q5" s="34" t="s">
        <v>174</v>
      </c>
      <c r="R5" s="34" t="s">
        <v>259</v>
      </c>
      <c r="S5" s="19" t="s">
        <v>197</v>
      </c>
      <c r="T5" s="19" t="s">
        <v>171</v>
      </c>
      <c r="U5" s="19" t="s">
        <v>216</v>
      </c>
      <c r="V5" s="19" t="s">
        <v>170</v>
      </c>
      <c r="W5" s="34" t="s">
        <v>174</v>
      </c>
      <c r="X5" s="34" t="s">
        <v>186</v>
      </c>
      <c r="Y5" s="40">
        <v>46255</v>
      </c>
      <c r="Z5" s="19"/>
      <c r="AA5" s="34">
        <v>50</v>
      </c>
      <c r="AB5" s="34">
        <v>50</v>
      </c>
      <c r="AC5" s="34" t="s">
        <v>174</v>
      </c>
      <c r="AD5" s="19" t="s">
        <v>364</v>
      </c>
      <c r="AE5" s="19"/>
      <c r="AF5" s="34" t="str">
        <f>OTMaestraTable[[#This Row],[Solicitante]]</f>
        <v>Camilo Robledo</v>
      </c>
      <c r="AG5" s="19"/>
      <c r="AH5" s="19" t="s">
        <v>203</v>
      </c>
      <c r="AI5" s="30" t="str">
        <f t="shared" si="1"/>
        <v/>
      </c>
      <c r="AJ5" s="30" t="str">
        <f t="shared" si="2"/>
        <v>Pendiente</v>
      </c>
      <c r="AK5" s="30" t="str">
        <f t="shared" si="3"/>
        <v>OK</v>
      </c>
      <c r="AL5" s="19"/>
    </row>
    <row r="6" spans="1:47" ht="280">
      <c r="A6" s="23" t="str">
        <f>IF('02_Base_Solicitudes'!A4="","",'02_Base_Solicitudes'!R4)</f>
        <v>OT-UM-202605-003</v>
      </c>
      <c r="B6" s="30">
        <f>IF('02_Base_Solicitudes'!A4="","",'02_Base_Solicitudes'!A4)</f>
        <v>3</v>
      </c>
      <c r="C6" s="31">
        <f>IF('02_Base_Solicitudes'!A4="","",'02_Base_Solicitudes'!C4)</f>
        <v>46160</v>
      </c>
      <c r="D6" s="23" t="str">
        <f>IF('02_Base_Solicitudes'!A4="","",'02_Base_Solicitudes'!D4)</f>
        <v>Vicerrectoria</v>
      </c>
      <c r="E6" s="23" t="str">
        <f>IF('02_Base_Solicitudes'!A4="","",'02_Base_Solicitudes'!E4)</f>
        <v>Jose Luis Castro Guerra</v>
      </c>
      <c r="F6" s="23" t="str">
        <f>IF('02_Base_Solicitudes'!A4="","",'02_Base_Solicitudes'!G4)</f>
        <v>vice-rectoria@unimetro.edu.co</v>
      </c>
      <c r="G6" s="23" t="str">
        <f>IF('02_Base_Solicitudes'!A4="","",'02_Base_Solicitudes'!H4)</f>
        <v>Agendas  - Material interno y de distribución externa para segundo semestre 2026</v>
      </c>
      <c r="H6" s="32" t="str">
        <f>IF('02_Base_Solicitudes'!A4="","",'02_Base_Solicitudes'!I4)</f>
        <v>Agendas</v>
      </c>
      <c r="I6" s="30">
        <f>IF('02_Base_Solicitudes'!A4="","",'02_Base_Solicitudes'!J4)</f>
        <v>500</v>
      </c>
      <c r="J6" s="23" t="s">
        <v>167</v>
      </c>
      <c r="K6" s="33">
        <f>IF('02_Base_Solicitudes'!A4="","",'02_Base_Solicitudes'!K4)</f>
        <v>46230</v>
      </c>
      <c r="L6" s="19" t="str">
        <f t="shared" si="0"/>
        <v>Julio Rivera</v>
      </c>
      <c r="M6" s="19" t="s">
        <v>24</v>
      </c>
      <c r="N6" s="34" t="s">
        <v>174</v>
      </c>
      <c r="O6" s="35">
        <v>46175</v>
      </c>
      <c r="P6" s="34" t="s">
        <v>289</v>
      </c>
      <c r="Q6" s="34" t="s">
        <v>174</v>
      </c>
      <c r="R6" s="34" t="s">
        <v>286</v>
      </c>
      <c r="S6" s="19" t="s">
        <v>207</v>
      </c>
      <c r="T6" s="19" t="s">
        <v>171</v>
      </c>
      <c r="U6" s="19" t="s">
        <v>229</v>
      </c>
      <c r="V6" s="19" t="s">
        <v>170</v>
      </c>
      <c r="W6" s="34" t="s">
        <v>174</v>
      </c>
      <c r="X6" s="34" t="s">
        <v>186</v>
      </c>
      <c r="Y6" s="40">
        <v>46198</v>
      </c>
      <c r="Z6" s="35">
        <v>46228</v>
      </c>
      <c r="AA6" s="34">
        <v>500</v>
      </c>
      <c r="AB6" s="34">
        <f>OTMaestraTable[[#This Row],[Cantidad producida]]</f>
        <v>500</v>
      </c>
      <c r="AC6" s="34" t="s">
        <v>174</v>
      </c>
      <c r="AD6" s="19" t="s">
        <v>292</v>
      </c>
      <c r="AE6" s="35">
        <v>46228</v>
      </c>
      <c r="AF6" s="34" t="str">
        <f>OTMaestraTable[[#This Row],[Solicitante]]</f>
        <v>Jose Luis Castro Guerra</v>
      </c>
      <c r="AG6" s="35">
        <v>46230</v>
      </c>
      <c r="AH6" s="19" t="s">
        <v>220</v>
      </c>
      <c r="AI6" s="30">
        <f t="shared" si="1"/>
        <v>70</v>
      </c>
      <c r="AJ6" s="30" t="str">
        <f t="shared" si="2"/>
        <v>Sí</v>
      </c>
      <c r="AK6" s="30" t="str">
        <f t="shared" si="3"/>
        <v>OK</v>
      </c>
      <c r="AL6" s="19" t="s">
        <v>303</v>
      </c>
    </row>
    <row r="7" spans="1:47" ht="84">
      <c r="A7" s="23" t="str">
        <f>IF('02_Base_Solicitudes'!A5="","",'02_Base_Solicitudes'!R5)</f>
        <v>OT-UM-202608-004</v>
      </c>
      <c r="B7" s="30">
        <f>IF('02_Base_Solicitudes'!A5="","",'02_Base_Solicitudes'!A5)</f>
        <v>4</v>
      </c>
      <c r="C7" s="31">
        <f>IF('02_Base_Solicitudes'!A5="","",'02_Base_Solicitudes'!C5)</f>
        <v>46254</v>
      </c>
      <c r="D7" s="23" t="str">
        <f>IF('02_Base_Solicitudes'!A5="","",'02_Base_Solicitudes'!D5)</f>
        <v>Vicerrectoria</v>
      </c>
      <c r="E7" s="23" t="str">
        <f>IF('02_Base_Solicitudes'!A5="","",'02_Base_Solicitudes'!E5)</f>
        <v>Jose Luis Castro</v>
      </c>
      <c r="F7" s="23" t="str">
        <f>IF('02_Base_Solicitudes'!A5="","",'02_Base_Solicitudes'!G5)</f>
        <v>vice-rectoria@unimetro.edu.co</v>
      </c>
      <c r="G7" s="23" t="str">
        <f>IF('02_Base_Solicitudes'!A5="","",'02_Base_Solicitudes'!H5)</f>
        <v>Abanicos - Material de promoción de la universidad</v>
      </c>
      <c r="H7" s="32" t="str">
        <f>IF('02_Base_Solicitudes'!A5="","",'02_Base_Solicitudes'!I5)</f>
        <v>Abanicos</v>
      </c>
      <c r="I7" s="30">
        <f>IF('02_Base_Solicitudes'!A5="","",'02_Base_Solicitudes'!J5)</f>
        <v>1500</v>
      </c>
      <c r="J7" s="23" t="str">
        <f>IF('02_Base_Solicitudes'!A5="","",'02_Base_Solicitudes'!M5)</f>
        <v>Normal</v>
      </c>
      <c r="K7" s="33">
        <f>IF('02_Base_Solicitudes'!A5="","",'02_Base_Solicitudes'!K5)</f>
        <v>46324</v>
      </c>
      <c r="L7" s="19" t="str">
        <f t="shared" si="0"/>
        <v>Julio Rivera</v>
      </c>
      <c r="M7" s="19" t="s">
        <v>24</v>
      </c>
      <c r="N7" s="34" t="s">
        <v>186</v>
      </c>
      <c r="O7" s="35"/>
      <c r="P7" s="34" t="s">
        <v>282</v>
      </c>
      <c r="Q7" s="34" t="s">
        <v>186</v>
      </c>
      <c r="R7" s="34"/>
      <c r="S7" s="19" t="s">
        <v>197</v>
      </c>
      <c r="T7" s="19" t="s">
        <v>183</v>
      </c>
      <c r="U7" s="19" t="s">
        <v>216</v>
      </c>
      <c r="V7" s="19" t="s">
        <v>170</v>
      </c>
      <c r="W7" s="34" t="s">
        <v>174</v>
      </c>
      <c r="X7" s="34" t="s">
        <v>186</v>
      </c>
      <c r="Y7" s="34"/>
      <c r="Z7" s="19"/>
      <c r="AA7" s="34"/>
      <c r="AB7" s="34"/>
      <c r="AC7" s="34" t="s">
        <v>291</v>
      </c>
      <c r="AD7" s="19"/>
      <c r="AE7" s="19"/>
      <c r="AF7" s="34" t="str">
        <f>OTMaestraTable[[#This Row],[Solicitante]]</f>
        <v>Jose Luis Castro</v>
      </c>
      <c r="AG7" s="19"/>
      <c r="AH7" s="19" t="s">
        <v>168</v>
      </c>
      <c r="AI7" s="30" t="str">
        <f t="shared" si="1"/>
        <v/>
      </c>
      <c r="AJ7" s="30" t="str">
        <f t="shared" si="2"/>
        <v>Pendiente</v>
      </c>
      <c r="AK7" s="30" t="str">
        <f t="shared" si="3"/>
        <v>OK</v>
      </c>
      <c r="AL7" s="19"/>
    </row>
    <row r="8" spans="1:47" ht="42">
      <c r="A8" s="23" t="str">
        <f>IF('02_Base_Solicitudes'!A6="","",'02_Base_Solicitudes'!R6)</f>
        <v>OT-UM-202605-005</v>
      </c>
      <c r="B8" s="30">
        <f>IF('02_Base_Solicitudes'!A6="","",'02_Base_Solicitudes'!A6)</f>
        <v>5</v>
      </c>
      <c r="C8" s="31">
        <f>IF('02_Base_Solicitudes'!A6="","",'02_Base_Solicitudes'!C6)</f>
        <v>46153</v>
      </c>
      <c r="D8" s="23" t="str">
        <f>IF('02_Base_Solicitudes'!A6="","",'02_Base_Solicitudes'!D6)</f>
        <v>Vicerrectoria</v>
      </c>
      <c r="E8" s="23" t="str">
        <f>IF('02_Base_Solicitudes'!A6="","",'02_Base_Solicitudes'!E6)</f>
        <v>Indira Luz de la Rosa</v>
      </c>
      <c r="F8" s="23" t="str">
        <f>IF('02_Base_Solicitudes'!A6="","",'02_Base_Solicitudes'!G6)</f>
        <v>idelarosa@unimetro.edu.co</v>
      </c>
      <c r="G8" s="23" t="str">
        <f>IF('02_Base_Solicitudes'!A6="","",'02_Base_Solicitudes'!H6)</f>
        <v>Actas de Grado</v>
      </c>
      <c r="H8" s="32" t="str">
        <f>IF('02_Base_Solicitudes'!A6="","",'02_Base_Solicitudes'!I6)</f>
        <v>Actas de grado</v>
      </c>
      <c r="I8" s="30">
        <f>IF('02_Base_Solicitudes'!A6="","",'02_Base_Solicitudes'!J6)</f>
        <v>1000</v>
      </c>
      <c r="J8" s="23" t="str">
        <f>IF('02_Base_Solicitudes'!A6="","",'02_Base_Solicitudes'!M6)</f>
        <v>Normal</v>
      </c>
      <c r="K8" s="33">
        <f>IF('02_Base_Solicitudes'!A6="","",'02_Base_Solicitudes'!K6)</f>
        <v>46184</v>
      </c>
      <c r="L8" s="19" t="str">
        <f t="shared" si="0"/>
        <v>Julio Rivera</v>
      </c>
      <c r="M8" s="19" t="s">
        <v>24</v>
      </c>
      <c r="N8" s="34" t="s">
        <v>174</v>
      </c>
      <c r="O8" s="35">
        <v>46002</v>
      </c>
      <c r="P8" s="34" t="s">
        <v>262</v>
      </c>
      <c r="Q8" s="34" t="s">
        <v>174</v>
      </c>
      <c r="R8" s="34" t="s">
        <v>260</v>
      </c>
      <c r="S8" s="19" t="s">
        <v>197</v>
      </c>
      <c r="T8" s="19" t="s">
        <v>195</v>
      </c>
      <c r="U8" s="19" t="s">
        <v>269</v>
      </c>
      <c r="V8" s="19" t="s">
        <v>170</v>
      </c>
      <c r="W8" s="34" t="s">
        <v>174</v>
      </c>
      <c r="X8" s="34" t="s">
        <v>186</v>
      </c>
      <c r="Y8" s="40">
        <v>46175</v>
      </c>
      <c r="Z8" s="35">
        <v>46177</v>
      </c>
      <c r="AA8" s="34">
        <v>1250</v>
      </c>
      <c r="AB8" s="34">
        <v>0</v>
      </c>
      <c r="AC8" s="34" t="s">
        <v>174</v>
      </c>
      <c r="AD8" s="19" t="s">
        <v>268</v>
      </c>
      <c r="AE8" s="35">
        <v>46184</v>
      </c>
      <c r="AF8" s="34" t="str">
        <f>OTMaestraTable[[#This Row],[Solicitante]]</f>
        <v>Indira Luz de la Rosa</v>
      </c>
      <c r="AG8" s="35">
        <v>46184</v>
      </c>
      <c r="AH8" s="19" t="s">
        <v>220</v>
      </c>
      <c r="AI8" s="30">
        <f t="shared" si="1"/>
        <v>31</v>
      </c>
      <c r="AJ8" s="30" t="str">
        <f t="shared" si="2"/>
        <v>Sí</v>
      </c>
      <c r="AK8" s="30" t="str">
        <f t="shared" si="3"/>
        <v>OK</v>
      </c>
      <c r="AL8" s="19" t="s">
        <v>270</v>
      </c>
    </row>
    <row r="9" spans="1:47" ht="83.5" customHeight="1">
      <c r="A9" s="23" t="str">
        <f>IF('02_Base_Solicitudes'!A7="","",'02_Base_Solicitudes'!R7)</f>
        <v>OT-UM-202604-006</v>
      </c>
      <c r="B9" s="30">
        <f>IF('02_Base_Solicitudes'!A7="","",'02_Base_Solicitudes'!A7)</f>
        <v>6</v>
      </c>
      <c r="C9" s="31">
        <f>IF('02_Base_Solicitudes'!A7="","",'02_Base_Solicitudes'!C7)</f>
        <v>46121</v>
      </c>
      <c r="D9" s="23" t="str">
        <f>IF('02_Base_Solicitudes'!A7="","",'02_Base_Solicitudes'!D7)</f>
        <v>Vicerrectoria - Biblioteca</v>
      </c>
      <c r="E9" s="23" t="str">
        <f>IF('02_Base_Solicitudes'!A7="","",'02_Base_Solicitudes'!E7)</f>
        <v>Yarima Medrano Nazzer</v>
      </c>
      <c r="F9" s="23" t="str">
        <f>IF('02_Base_Solicitudes'!A7="","",'02_Base_Solicitudes'!G7)</f>
        <v>directorabiblioteca@unimetro.edu.co</v>
      </c>
      <c r="G9" s="23" t="str">
        <f>IF('02_Base_Solicitudes'!A7="","",'02_Base_Solicitudes'!H7)</f>
        <v>Tarjetas de Prestamo</v>
      </c>
      <c r="H9" s="32" t="str">
        <f>IF('02_Base_Solicitudes'!A7="","",'02_Base_Solicitudes'!I7)</f>
        <v>Tarjetas Prestamo Biblioteca</v>
      </c>
      <c r="I9" s="30">
        <f>IF('02_Base_Solicitudes'!A7="","",'02_Base_Solicitudes'!J7)</f>
        <v>5000</v>
      </c>
      <c r="J9" s="23" t="str">
        <f>IF('02_Base_Solicitudes'!A7="","",'02_Base_Solicitudes'!M7)</f>
        <v>Normal</v>
      </c>
      <c r="K9" s="33">
        <f>IF('02_Base_Solicitudes'!A7="","",'02_Base_Solicitudes'!K7)</f>
        <v>46259</v>
      </c>
      <c r="L9" s="19" t="str">
        <f t="shared" si="0"/>
        <v>Julio Rivera</v>
      </c>
      <c r="M9" s="19" t="s">
        <v>24</v>
      </c>
      <c r="N9" s="34" t="s">
        <v>174</v>
      </c>
      <c r="O9" s="35">
        <v>46147</v>
      </c>
      <c r="P9" s="34" t="s">
        <v>263</v>
      </c>
      <c r="Q9" s="34" t="s">
        <v>174</v>
      </c>
      <c r="R9" s="34" t="s">
        <v>261</v>
      </c>
      <c r="S9" s="19" t="s">
        <v>185</v>
      </c>
      <c r="T9" s="19" t="s">
        <v>205</v>
      </c>
      <c r="U9" s="19" t="s">
        <v>184</v>
      </c>
      <c r="V9" s="19" t="s">
        <v>170</v>
      </c>
      <c r="W9" s="34" t="s">
        <v>174</v>
      </c>
      <c r="X9" s="34" t="s">
        <v>186</v>
      </c>
      <c r="Y9" s="40">
        <v>46232</v>
      </c>
      <c r="Z9" s="35">
        <v>46237</v>
      </c>
      <c r="AA9" s="34">
        <v>5000</v>
      </c>
      <c r="AB9" s="34">
        <v>0</v>
      </c>
      <c r="AC9" s="34" t="s">
        <v>174</v>
      </c>
      <c r="AD9" s="19" t="s">
        <v>305</v>
      </c>
      <c r="AE9" s="35">
        <v>46248</v>
      </c>
      <c r="AF9" s="34" t="str">
        <f>OTMaestraTable[[#This Row],[Solicitante]]</f>
        <v>Yarima Medrano Nazzer</v>
      </c>
      <c r="AG9" s="35">
        <v>46248</v>
      </c>
      <c r="AH9" s="19" t="s">
        <v>220</v>
      </c>
      <c r="AI9" s="30">
        <f t="shared" si="1"/>
        <v>127</v>
      </c>
      <c r="AJ9" s="30" t="str">
        <f t="shared" si="2"/>
        <v>Sí</v>
      </c>
      <c r="AK9" s="30" t="str">
        <f t="shared" si="3"/>
        <v>OK</v>
      </c>
      <c r="AL9" s="19" t="s">
        <v>338</v>
      </c>
    </row>
    <row r="10" spans="1:47" ht="280">
      <c r="A10" s="23" t="str">
        <f>IF('02_Base_Solicitudes'!A8="","",'02_Base_Solicitudes'!R8)</f>
        <v>OT-UM-202604-007</v>
      </c>
      <c r="B10" s="30">
        <f>IF('02_Base_Solicitudes'!A8="","",'02_Base_Solicitudes'!A8)</f>
        <v>7</v>
      </c>
      <c r="C10" s="31">
        <f>IF('02_Base_Solicitudes'!A8="","",'02_Base_Solicitudes'!C8)</f>
        <v>46121</v>
      </c>
      <c r="D10" s="23" t="str">
        <f>IF('02_Base_Solicitudes'!A8="","",'02_Base_Solicitudes'!D8)</f>
        <v>Vicerrectoria - Biblioteca</v>
      </c>
      <c r="E10" s="23" t="str">
        <f>IF('02_Base_Solicitudes'!A8="","",'02_Base_Solicitudes'!E8)</f>
        <v>Yarima Medrano Nazzer</v>
      </c>
      <c r="F10" s="23" t="str">
        <f>IF('02_Base_Solicitudes'!A8="","",'02_Base_Solicitudes'!G8)</f>
        <v>directorabiblioteca@unimetro.edu.co</v>
      </c>
      <c r="G10" s="23" t="str">
        <f>IF('02_Base_Solicitudes'!A8="","",'02_Base_Solicitudes'!H8)</f>
        <v>Bolsillos de tarjeta de préstamo</v>
      </c>
      <c r="H10" s="32" t="str">
        <f>IF('02_Base_Solicitudes'!A8="","",'02_Base_Solicitudes'!I8)</f>
        <v>Bolsillos de tarjeta de préstamo</v>
      </c>
      <c r="I10" s="30">
        <f>IF('02_Base_Solicitudes'!A8="","",'02_Base_Solicitudes'!J8)</f>
        <v>2000</v>
      </c>
      <c r="J10" s="23" t="str">
        <f>IF('02_Base_Solicitudes'!A8="","",'02_Base_Solicitudes'!M8)</f>
        <v>Normal</v>
      </c>
      <c r="K10" s="33">
        <f>IF('02_Base_Solicitudes'!A8="","",'02_Base_Solicitudes'!K8)</f>
        <v>46259</v>
      </c>
      <c r="L10" s="19" t="str">
        <f t="shared" si="0"/>
        <v>Julio Rivera</v>
      </c>
      <c r="M10" s="19" t="s">
        <v>24</v>
      </c>
      <c r="N10" s="34" t="s">
        <v>174</v>
      </c>
      <c r="O10" s="35">
        <v>46147</v>
      </c>
      <c r="P10" s="34" t="s">
        <v>293</v>
      </c>
      <c r="Q10" s="34" t="s">
        <v>174</v>
      </c>
      <c r="R10" s="34" t="s">
        <v>265</v>
      </c>
      <c r="S10" s="19" t="s">
        <v>185</v>
      </c>
      <c r="T10" s="19" t="s">
        <v>171</v>
      </c>
      <c r="U10" s="19" t="s">
        <v>196</v>
      </c>
      <c r="V10" s="19" t="s">
        <v>170</v>
      </c>
      <c r="W10" s="34" t="s">
        <v>174</v>
      </c>
      <c r="X10" s="34" t="s">
        <v>186</v>
      </c>
      <c r="Y10" s="40">
        <v>46232</v>
      </c>
      <c r="Z10" s="35">
        <v>46234</v>
      </c>
      <c r="AA10" s="34">
        <v>2000</v>
      </c>
      <c r="AB10" s="34">
        <v>0</v>
      </c>
      <c r="AC10" s="34" t="s">
        <v>174</v>
      </c>
      <c r="AD10" s="19" t="s">
        <v>368</v>
      </c>
      <c r="AE10" s="35">
        <v>46274</v>
      </c>
      <c r="AF10" s="34" t="str">
        <f>OTMaestraTable[[#This Row],[Solicitante]]</f>
        <v>Yarima Medrano Nazzer</v>
      </c>
      <c r="AG10" s="35">
        <v>46274</v>
      </c>
      <c r="AH10" s="19" t="s">
        <v>220</v>
      </c>
      <c r="AI10" s="30">
        <f t="shared" si="1"/>
        <v>153</v>
      </c>
      <c r="AJ10" s="30" t="str">
        <f t="shared" si="2"/>
        <v>No</v>
      </c>
      <c r="AK10" s="30" t="str">
        <f t="shared" si="3"/>
        <v>OK</v>
      </c>
      <c r="AL10" s="19" t="s">
        <v>369</v>
      </c>
    </row>
    <row r="11" spans="1:47" ht="88.5" customHeight="1">
      <c r="A11" s="23" t="str">
        <f>IF('02_Base_Solicitudes'!A9="","",'02_Base_Solicitudes'!R9)</f>
        <v>OT-UM-202604-008</v>
      </c>
      <c r="B11" s="30">
        <f>IF('02_Base_Solicitudes'!A9="","",'02_Base_Solicitudes'!A9)</f>
        <v>8</v>
      </c>
      <c r="C11" s="31">
        <f>IF('02_Base_Solicitudes'!A9="","",'02_Base_Solicitudes'!C9)</f>
        <v>46121</v>
      </c>
      <c r="D11" s="23" t="str">
        <f>IF('02_Base_Solicitudes'!A9="","",'02_Base_Solicitudes'!D9)</f>
        <v>Vicerrectoria - Biblioteca</v>
      </c>
      <c r="E11" s="23" t="str">
        <f>IF('02_Base_Solicitudes'!A9="","",'02_Base_Solicitudes'!E9)</f>
        <v>Yarima Medrano Nazzer</v>
      </c>
      <c r="F11" s="23" t="str">
        <f>IF('02_Base_Solicitudes'!A9="","",'02_Base_Solicitudes'!G9)</f>
        <v>directorabiblioteca@unimetro.edu.co</v>
      </c>
      <c r="G11" s="23" t="str">
        <f>IF('02_Base_Solicitudes'!A9="","",'02_Base_Solicitudes'!H9)</f>
        <v>Adhesivos de Colores para categorizar grupos de Libros</v>
      </c>
      <c r="H11" s="32" t="str">
        <f>IF('02_Base_Solicitudes'!A9="","",'02_Base_Solicitudes'!I9)</f>
        <v>Adhesivos de Colores</v>
      </c>
      <c r="I11" s="30">
        <f>IF('02_Base_Solicitudes'!A9="","",'02_Base_Solicitudes'!J9)</f>
        <v>1300</v>
      </c>
      <c r="J11" s="23" t="str">
        <f>IF('02_Base_Solicitudes'!A9="","",'02_Base_Solicitudes'!M9)</f>
        <v>Normal</v>
      </c>
      <c r="K11" s="33">
        <f>IF('02_Base_Solicitudes'!A9="","",'02_Base_Solicitudes'!K9)</f>
        <v>46155</v>
      </c>
      <c r="L11" s="19" t="str">
        <f t="shared" si="0"/>
        <v>Julio Rivera</v>
      </c>
      <c r="M11" s="19" t="s">
        <v>24</v>
      </c>
      <c r="N11" s="34" t="s">
        <v>174</v>
      </c>
      <c r="O11" s="35">
        <v>46148</v>
      </c>
      <c r="P11" s="34" t="s">
        <v>264</v>
      </c>
      <c r="Q11" s="34" t="s">
        <v>174</v>
      </c>
      <c r="R11" s="34" t="s">
        <v>260</v>
      </c>
      <c r="S11" s="19" t="s">
        <v>185</v>
      </c>
      <c r="T11" s="19" t="s">
        <v>215</v>
      </c>
      <c r="U11" s="19" t="s">
        <v>172</v>
      </c>
      <c r="V11" s="19" t="s">
        <v>170</v>
      </c>
      <c r="W11" s="34" t="s">
        <v>174</v>
      </c>
      <c r="X11" s="34" t="s">
        <v>186</v>
      </c>
      <c r="Y11" s="40">
        <v>46149</v>
      </c>
      <c r="Z11" s="35">
        <v>46153</v>
      </c>
      <c r="AA11" s="34">
        <f>OTMaestraTable[[#This Row],[Cantidad]]</f>
        <v>1300</v>
      </c>
      <c r="AB11" s="34"/>
      <c r="AC11" s="34" t="s">
        <v>174</v>
      </c>
      <c r="AD11" s="19" t="s">
        <v>255</v>
      </c>
      <c r="AE11" s="35">
        <v>46154</v>
      </c>
      <c r="AF11" s="34" t="str">
        <f>OTMaestraTable[[#This Row],[Solicitante]]</f>
        <v>Yarima Medrano Nazzer</v>
      </c>
      <c r="AG11" s="35">
        <v>46155</v>
      </c>
      <c r="AH11" s="19" t="s">
        <v>220</v>
      </c>
      <c r="AI11" s="30">
        <f t="shared" si="1"/>
        <v>34</v>
      </c>
      <c r="AJ11" s="30" t="str">
        <f t="shared" si="2"/>
        <v>Sí</v>
      </c>
      <c r="AK11" s="30" t="str">
        <f t="shared" si="3"/>
        <v>OK</v>
      </c>
      <c r="AL11" s="19" t="s">
        <v>285</v>
      </c>
    </row>
    <row r="12" spans="1:47" ht="168">
      <c r="A12" s="23" t="str">
        <f>IF('02_Base_Solicitudes'!A10="","",'02_Base_Solicitudes'!R10)</f>
        <v>OT-UM-202605-009</v>
      </c>
      <c r="B12" s="30">
        <f>IF('02_Base_Solicitudes'!A10="","",'02_Base_Solicitudes'!A10)</f>
        <v>9</v>
      </c>
      <c r="C12" s="31">
        <f>IF('02_Base_Solicitudes'!A10="","",'02_Base_Solicitudes'!C10)</f>
        <v>46170</v>
      </c>
      <c r="D12" s="23" t="str">
        <f>IF('02_Base_Solicitudes'!A10="","",'02_Base_Solicitudes'!D10)</f>
        <v>Vicerrectoria - Direccion Administrativa</v>
      </c>
      <c r="E12" s="23" t="str">
        <f>IF('02_Base_Solicitudes'!A10="","",'02_Base_Solicitudes'!E10)</f>
        <v>Elio Ortiz</v>
      </c>
      <c r="F12" s="23" t="str">
        <f>IF('02_Base_Solicitudes'!A10="","",'02_Base_Solicitudes'!G10)</f>
        <v>eortizg@unimetro.edu.co</v>
      </c>
      <c r="G12" s="23" t="str">
        <f>IF('02_Base_Solicitudes'!A10="","",'02_Base_Solicitudes'!H10)</f>
        <v>Hojas membretadas uso institucional para varias dependencias</v>
      </c>
      <c r="H12" s="32" t="str">
        <f>IF('02_Base_Solicitudes'!A10="","",'02_Base_Solicitudes'!I10)</f>
        <v>Hojas Membreteadas</v>
      </c>
      <c r="I12" s="30">
        <f>IF('02_Base_Solicitudes'!A10="","",'02_Base_Solicitudes'!J10)</f>
        <v>5000</v>
      </c>
      <c r="J12" s="23" t="str">
        <f>IF('02_Base_Solicitudes'!A10="","",'02_Base_Solicitudes'!M10)</f>
        <v>Normal</v>
      </c>
      <c r="K12" s="33">
        <f>IF('02_Base_Solicitudes'!A10="","",'02_Base_Solicitudes'!K10)</f>
        <v>46249</v>
      </c>
      <c r="L12" s="19" t="str">
        <f t="shared" si="0"/>
        <v>Julio Rivera</v>
      </c>
      <c r="M12" s="19" t="s">
        <v>24</v>
      </c>
      <c r="N12" s="34" t="s">
        <v>174</v>
      </c>
      <c r="O12" s="35">
        <v>46206</v>
      </c>
      <c r="P12" s="34" t="s">
        <v>306</v>
      </c>
      <c r="Q12" s="34" t="s">
        <v>174</v>
      </c>
      <c r="R12" s="34" t="s">
        <v>260</v>
      </c>
      <c r="S12" s="19" t="s">
        <v>197</v>
      </c>
      <c r="T12" s="19" t="s">
        <v>171</v>
      </c>
      <c r="U12" s="19" t="s">
        <v>172</v>
      </c>
      <c r="V12" s="19" t="s">
        <v>170</v>
      </c>
      <c r="W12" s="34" t="s">
        <v>174</v>
      </c>
      <c r="X12" s="34" t="s">
        <v>186</v>
      </c>
      <c r="Y12" s="40">
        <v>46237</v>
      </c>
      <c r="Z12" s="40">
        <v>46238</v>
      </c>
      <c r="AA12" s="34">
        <f>4850</f>
        <v>4850</v>
      </c>
      <c r="AB12" s="34">
        <v>0</v>
      </c>
      <c r="AC12" s="34" t="s">
        <v>174</v>
      </c>
      <c r="AD12" s="19" t="s">
        <v>323</v>
      </c>
      <c r="AE12" s="35">
        <v>46239</v>
      </c>
      <c r="AF12" s="34" t="str">
        <f>OTMaestraTable[[#This Row],[Solicitante]]</f>
        <v>Elio Ortiz</v>
      </c>
      <c r="AG12" s="35">
        <v>46239</v>
      </c>
      <c r="AH12" s="19" t="s">
        <v>220</v>
      </c>
      <c r="AI12" s="30">
        <f t="shared" si="1"/>
        <v>69</v>
      </c>
      <c r="AJ12" s="30" t="str">
        <f t="shared" si="2"/>
        <v>Sí</v>
      </c>
      <c r="AK12" s="30" t="str">
        <f t="shared" si="3"/>
        <v>OK</v>
      </c>
      <c r="AL12" s="19" t="s">
        <v>324</v>
      </c>
    </row>
    <row r="13" spans="1:47" ht="154">
      <c r="A13" s="23" t="str">
        <f>IF('02_Base_Solicitudes'!A11="","",'02_Base_Solicitudes'!R11)</f>
        <v>OT-UM-202605-010</v>
      </c>
      <c r="B13" s="30">
        <f>IF('02_Base_Solicitudes'!A11="","",'02_Base_Solicitudes'!A11)</f>
        <v>10</v>
      </c>
      <c r="C13" s="31">
        <f>IF('02_Base_Solicitudes'!A11="","",'02_Base_Solicitudes'!C11)</f>
        <v>46155</v>
      </c>
      <c r="D13" s="23" t="str">
        <f>IF('02_Base_Solicitudes'!A11="","",'02_Base_Solicitudes'!D11)</f>
        <v>Rectoria - Alta consejeria</v>
      </c>
      <c r="E13" s="23" t="str">
        <f>IF('02_Base_Solicitudes'!A11="","",'02_Base_Solicitudes'!E11)</f>
        <v>Julian Ramirez</v>
      </c>
      <c r="F13" s="23" t="str">
        <f>IF('02_Base_Solicitudes'!A11="","",'02_Base_Solicitudes'!G11)</f>
        <v>jramirezo@unimetro.edu.co</v>
      </c>
      <c r="G13" s="23" t="str">
        <f>IF('02_Base_Solicitudes'!A11="","",'02_Base_Solicitudes'!H11)</f>
        <v>Individuales para bandejas de plazoleta de comidas</v>
      </c>
      <c r="H13" s="32" t="str">
        <f>IF('02_Base_Solicitudes'!A11="","",'02_Base_Solicitudes'!I11)</f>
        <v>Individuales para bandejas</v>
      </c>
      <c r="I13" s="30">
        <f>IF('02_Base_Solicitudes'!A11="","",'02_Base_Solicitudes'!J11)</f>
        <v>3600</v>
      </c>
      <c r="J13" s="23" t="str">
        <f>IF('02_Base_Solicitudes'!A11="","",'02_Base_Solicitudes'!M11)</f>
        <v>Normal</v>
      </c>
      <c r="K13" s="33">
        <f>IF('02_Base_Solicitudes'!A11="","",'02_Base_Solicitudes'!K11)</f>
        <v>46254</v>
      </c>
      <c r="L13" s="19" t="str">
        <f t="shared" si="0"/>
        <v>Julio Rivera</v>
      </c>
      <c r="M13" s="19" t="s">
        <v>24</v>
      </c>
      <c r="N13" s="34" t="s">
        <v>174</v>
      </c>
      <c r="O13" s="35">
        <v>46155</v>
      </c>
      <c r="P13" s="34" t="s">
        <v>322</v>
      </c>
      <c r="Q13" s="34" t="s">
        <v>174</v>
      </c>
      <c r="R13" s="34" t="s">
        <v>288</v>
      </c>
      <c r="S13" s="19" t="s">
        <v>197</v>
      </c>
      <c r="T13" s="19" t="s">
        <v>222</v>
      </c>
      <c r="U13" s="19" t="s">
        <v>172</v>
      </c>
      <c r="V13" s="19" t="s">
        <v>170</v>
      </c>
      <c r="W13" s="34" t="s">
        <v>174</v>
      </c>
      <c r="X13" s="34" t="s">
        <v>186</v>
      </c>
      <c r="Y13" s="40">
        <v>46241</v>
      </c>
      <c r="Z13" s="35">
        <v>46244</v>
      </c>
      <c r="AA13" s="34">
        <v>3660</v>
      </c>
      <c r="AB13" s="34">
        <v>0</v>
      </c>
      <c r="AC13" s="34" t="s">
        <v>174</v>
      </c>
      <c r="AD13" s="19" t="s">
        <v>328</v>
      </c>
      <c r="AE13" s="35">
        <v>46245</v>
      </c>
      <c r="AF13" s="34" t="str">
        <f>OTMaestraTable[[#This Row],[Solicitante]]</f>
        <v>Julian Ramirez</v>
      </c>
      <c r="AG13" s="35">
        <v>46245</v>
      </c>
      <c r="AH13" s="19" t="s">
        <v>220</v>
      </c>
      <c r="AI13" s="30">
        <f t="shared" si="1"/>
        <v>90</v>
      </c>
      <c r="AJ13" s="30" t="str">
        <f t="shared" si="2"/>
        <v>Sí</v>
      </c>
      <c r="AK13" s="30" t="str">
        <f t="shared" si="3"/>
        <v>OK</v>
      </c>
      <c r="AL13" s="19"/>
    </row>
    <row r="14" spans="1:47" ht="158" customHeight="1">
      <c r="A14" s="23" t="str">
        <f>IF('02_Base_Solicitudes'!A12="","",'02_Base_Solicitudes'!R12)</f>
        <v>OT-UM-202606-011</v>
      </c>
      <c r="B14" s="30">
        <f>IF('02_Base_Solicitudes'!A12="","",'02_Base_Solicitudes'!A12)</f>
        <v>11</v>
      </c>
      <c r="C14" s="31">
        <f>IF('02_Base_Solicitudes'!A12="","",'02_Base_Solicitudes'!C12)</f>
        <v>46185</v>
      </c>
      <c r="D14" s="23" t="str">
        <f>IF('02_Base_Solicitudes'!A12="","",'02_Base_Solicitudes'!D12)</f>
        <v>Rectoria - Comunicaciones y Mercadeo</v>
      </c>
      <c r="E14" s="23" t="str">
        <f>IF('02_Base_Solicitudes'!A12="","",'02_Base_Solicitudes'!E12)</f>
        <v>Camilo Robledo</v>
      </c>
      <c r="F14" s="23" t="str">
        <f>IF('02_Base_Solicitudes'!A12="","",'02_Base_Solicitudes'!G12)</f>
        <v>coordinadordecontenidos@unimetro.edu.co</v>
      </c>
      <c r="G14" s="23" t="str">
        <f>IF('02_Base_Solicitudes'!A12="","",'02_Base_Solicitudes'!H12)</f>
        <v xml:space="preserve">Volantes de programas académicos Pregado- Medicina - Nutrición y Dietética </v>
      </c>
      <c r="H14" s="32" t="str">
        <f>IF('02_Base_Solicitudes'!A12="","",'02_Base_Solicitudes'!I12)</f>
        <v>Volantes</v>
      </c>
      <c r="I14" s="30">
        <f>IF('02_Base_Solicitudes'!A12="","",'02_Base_Solicitudes'!J12)</f>
        <v>3000</v>
      </c>
      <c r="J14" s="23" t="str">
        <f>IF('02_Base_Solicitudes'!A12="","",'02_Base_Solicitudes'!M12)</f>
        <v>Normal</v>
      </c>
      <c r="K14" s="33">
        <f>IF('02_Base_Solicitudes'!A12="","",'02_Base_Solicitudes'!K12)</f>
        <v>46295</v>
      </c>
      <c r="L14" s="19" t="str">
        <f t="shared" si="0"/>
        <v>Julio Rivera</v>
      </c>
      <c r="M14" s="19" t="s">
        <v>24</v>
      </c>
      <c r="N14" s="34" t="s">
        <v>174</v>
      </c>
      <c r="O14" s="35">
        <v>46261</v>
      </c>
      <c r="P14" s="34" t="s">
        <v>374</v>
      </c>
      <c r="Q14" s="34" t="s">
        <v>174</v>
      </c>
      <c r="R14" s="34" t="s">
        <v>287</v>
      </c>
      <c r="S14" s="19" t="s">
        <v>207</v>
      </c>
      <c r="T14" s="19" t="s">
        <v>358</v>
      </c>
      <c r="U14" s="19" t="s">
        <v>184</v>
      </c>
      <c r="V14" s="19" t="s">
        <v>170</v>
      </c>
      <c r="W14" s="34" t="s">
        <v>174</v>
      </c>
      <c r="X14" s="34" t="s">
        <v>186</v>
      </c>
      <c r="Y14" s="40">
        <v>46273</v>
      </c>
      <c r="Z14" s="35">
        <v>46283</v>
      </c>
      <c r="AA14" s="34">
        <f>4000+OTMaestraTable[[#This Row],[Entrega Parcial]]</f>
        <v>4100</v>
      </c>
      <c r="AB14" s="34">
        <v>100</v>
      </c>
      <c r="AC14" s="34" t="s">
        <v>174</v>
      </c>
      <c r="AD14" s="19" t="s">
        <v>388</v>
      </c>
      <c r="AE14" s="35">
        <v>46286</v>
      </c>
      <c r="AF14" s="34" t="str">
        <f>OTMaestraTable[[#This Row],[Solicitante]]</f>
        <v>Camilo Robledo</v>
      </c>
      <c r="AG14" s="35">
        <v>46286</v>
      </c>
      <c r="AH14" s="19" t="s">
        <v>220</v>
      </c>
      <c r="AI14" s="30">
        <f t="shared" si="1"/>
        <v>101</v>
      </c>
      <c r="AJ14" s="30" t="str">
        <f t="shared" si="2"/>
        <v>Sí</v>
      </c>
      <c r="AK14" s="30" t="str">
        <f t="shared" si="3"/>
        <v>OK</v>
      </c>
      <c r="AL14" s="19" t="s">
        <v>390</v>
      </c>
    </row>
    <row r="15" spans="1:47" ht="126">
      <c r="A15" s="23" t="str">
        <f>IF('02_Base_Solicitudes'!A13="","",'02_Base_Solicitudes'!R13)</f>
        <v>OT-UM-202606-012</v>
      </c>
      <c r="B15" s="30">
        <f>IF('02_Base_Solicitudes'!A13="","",'02_Base_Solicitudes'!A13)</f>
        <v>12</v>
      </c>
      <c r="C15" s="31">
        <f>IF('02_Base_Solicitudes'!A13="","",'02_Base_Solicitudes'!C13)</f>
        <v>46185</v>
      </c>
      <c r="D15" s="23" t="str">
        <f>IF('02_Base_Solicitudes'!A13="","",'02_Base_Solicitudes'!D13)</f>
        <v>Rectoria - Comunicaciones y Mercadeo</v>
      </c>
      <c r="E15" s="23" t="str">
        <f>IF('02_Base_Solicitudes'!A13="","",'02_Base_Solicitudes'!E13)</f>
        <v>Camilo Robledo</v>
      </c>
      <c r="F15" s="23" t="str">
        <f>IF('02_Base_Solicitudes'!A13="","",'02_Base_Solicitudes'!G13)</f>
        <v>coordinadordecontenidos@unimetro.edu.co</v>
      </c>
      <c r="G15" s="23" t="str">
        <f>IF('02_Base_Solicitudes'!A13="","",'02_Base_Solicitudes'!H13)</f>
        <v>Volante progamas Pregrado - Bacteriología-Enfermeria-Fisioterapia- Trabajo Social</v>
      </c>
      <c r="H15" s="32" t="str">
        <f>IF('02_Base_Solicitudes'!A13="","",'02_Base_Solicitudes'!I13)</f>
        <v>Volantes</v>
      </c>
      <c r="I15" s="30">
        <f>IF('02_Base_Solicitudes'!A13="","",'02_Base_Solicitudes'!J13)</f>
        <v>4000</v>
      </c>
      <c r="J15" s="23" t="str">
        <f>IF('02_Base_Solicitudes'!A13="","",'02_Base_Solicitudes'!M13)</f>
        <v>Normal</v>
      </c>
      <c r="K15" s="33">
        <f>IF('02_Base_Solicitudes'!A13="","",'02_Base_Solicitudes'!K13)</f>
        <v>46295</v>
      </c>
      <c r="L15" s="19" t="str">
        <f t="shared" si="0"/>
        <v>Julio Rivera</v>
      </c>
      <c r="M15" s="19" t="s">
        <v>24</v>
      </c>
      <c r="N15" s="34" t="s">
        <v>174</v>
      </c>
      <c r="O15" s="35">
        <v>46261</v>
      </c>
      <c r="P15" s="34" t="s">
        <v>374</v>
      </c>
      <c r="Q15" s="34" t="s">
        <v>174</v>
      </c>
      <c r="R15" s="34" t="s">
        <v>287</v>
      </c>
      <c r="S15" s="19" t="s">
        <v>207</v>
      </c>
      <c r="T15" s="19" t="s">
        <v>358</v>
      </c>
      <c r="U15" s="19" t="s">
        <v>184</v>
      </c>
      <c r="V15" s="19" t="s">
        <v>170</v>
      </c>
      <c r="W15" s="34" t="s">
        <v>174</v>
      </c>
      <c r="X15" s="34" t="s">
        <v>186</v>
      </c>
      <c r="Y15" s="40">
        <v>46273</v>
      </c>
      <c r="Z15" s="19"/>
      <c r="AA15" s="34">
        <f>4000+OTMaestraTable[[#This Row],[Entrega Parcial]]</f>
        <v>4200</v>
      </c>
      <c r="AB15" s="34">
        <v>200</v>
      </c>
      <c r="AC15" s="34" t="s">
        <v>174</v>
      </c>
      <c r="AD15" s="19" t="s">
        <v>377</v>
      </c>
      <c r="AE15" s="35">
        <v>46286</v>
      </c>
      <c r="AF15" s="34" t="str">
        <f>OTMaestraTable[[#This Row],[Solicitante]]</f>
        <v>Camilo Robledo</v>
      </c>
      <c r="AG15" s="35">
        <v>46286</v>
      </c>
      <c r="AH15" s="19" t="s">
        <v>220</v>
      </c>
      <c r="AI15" s="30">
        <f t="shared" si="1"/>
        <v>101</v>
      </c>
      <c r="AJ15" s="30" t="str">
        <f t="shared" si="2"/>
        <v>Sí</v>
      </c>
      <c r="AK15" s="30" t="str">
        <f t="shared" si="3"/>
        <v>OK</v>
      </c>
      <c r="AL15" s="19" t="s">
        <v>390</v>
      </c>
    </row>
    <row r="16" spans="1:47" ht="126">
      <c r="A16" s="23" t="str">
        <f>IF('02_Base_Solicitudes'!A14="","",'02_Base_Solicitudes'!R14)</f>
        <v>OT-UM-202606-013</v>
      </c>
      <c r="B16" s="30">
        <f>IF('02_Base_Solicitudes'!A14="","",'02_Base_Solicitudes'!A14)</f>
        <v>13</v>
      </c>
      <c r="C16" s="31">
        <f>IF('02_Base_Solicitudes'!A14="","",'02_Base_Solicitudes'!C14)</f>
        <v>46185</v>
      </c>
      <c r="D16" s="23" t="str">
        <f>IF('02_Base_Solicitudes'!A14="","",'02_Base_Solicitudes'!D14)</f>
        <v>Rectoria - Comunicaciones y Mercadeo</v>
      </c>
      <c r="E16" s="23" t="str">
        <f>IF('02_Base_Solicitudes'!A14="","",'02_Base_Solicitudes'!E14)</f>
        <v>Camilo Robledo</v>
      </c>
      <c r="F16" s="23" t="str">
        <f>IF('02_Base_Solicitudes'!A14="","",'02_Base_Solicitudes'!G14)</f>
        <v>coordinadordecontenidos@unimetro.edu.co</v>
      </c>
      <c r="G16" s="23" t="str">
        <f>IF('02_Base_Solicitudes'!A14="","",'02_Base_Solicitudes'!H14)</f>
        <v>Volante programas pregrado - Odontología - Optometría - Psicología - Terapia Ocupacional</v>
      </c>
      <c r="H16" s="32" t="str">
        <f>IF('02_Base_Solicitudes'!A14="","",'02_Base_Solicitudes'!I14)</f>
        <v>Volantes</v>
      </c>
      <c r="I16" s="30">
        <f>IF('02_Base_Solicitudes'!A14="","",'02_Base_Solicitudes'!J14)</f>
        <v>4000</v>
      </c>
      <c r="J16" s="23" t="str">
        <f>IF('02_Base_Solicitudes'!A14="","",'02_Base_Solicitudes'!M14)</f>
        <v>Normal</v>
      </c>
      <c r="K16" s="33">
        <f>IF('02_Base_Solicitudes'!A14="","",'02_Base_Solicitudes'!K14)</f>
        <v>46295</v>
      </c>
      <c r="L16" s="19" t="str">
        <f t="shared" si="0"/>
        <v>Julio Rivera</v>
      </c>
      <c r="M16" s="19" t="s">
        <v>24</v>
      </c>
      <c r="N16" s="34" t="s">
        <v>174</v>
      </c>
      <c r="O16" s="35">
        <v>46261</v>
      </c>
      <c r="P16" s="34" t="s">
        <v>374</v>
      </c>
      <c r="Q16" s="34" t="s">
        <v>174</v>
      </c>
      <c r="R16" s="34" t="s">
        <v>287</v>
      </c>
      <c r="S16" s="19" t="s">
        <v>207</v>
      </c>
      <c r="T16" s="19" t="s">
        <v>358</v>
      </c>
      <c r="U16" s="19" t="s">
        <v>184</v>
      </c>
      <c r="V16" s="19" t="s">
        <v>170</v>
      </c>
      <c r="W16" s="34" t="s">
        <v>174</v>
      </c>
      <c r="X16" s="34" t="s">
        <v>186</v>
      </c>
      <c r="Y16" s="40">
        <v>46273</v>
      </c>
      <c r="Z16" s="19"/>
      <c r="AA16" s="34">
        <f>4000+OTMaestraTable[[#This Row],[Entrega Parcial]]</f>
        <v>4200</v>
      </c>
      <c r="AB16" s="34">
        <v>200</v>
      </c>
      <c r="AC16" s="34" t="s">
        <v>174</v>
      </c>
      <c r="AD16" s="19" t="s">
        <v>375</v>
      </c>
      <c r="AE16" s="35">
        <v>46286</v>
      </c>
      <c r="AF16" s="34" t="str">
        <f>OTMaestraTable[[#This Row],[Solicitante]]</f>
        <v>Camilo Robledo</v>
      </c>
      <c r="AG16" s="35">
        <v>46286</v>
      </c>
      <c r="AH16" s="19" t="s">
        <v>220</v>
      </c>
      <c r="AI16" s="30">
        <f t="shared" si="1"/>
        <v>101</v>
      </c>
      <c r="AJ16" s="30" t="str">
        <f t="shared" si="2"/>
        <v>Sí</v>
      </c>
      <c r="AK16" s="30" t="str">
        <f t="shared" si="3"/>
        <v>OK</v>
      </c>
      <c r="AL16" s="19" t="s">
        <v>390</v>
      </c>
    </row>
    <row r="17" spans="1:38" ht="196">
      <c r="A17" s="23" t="str">
        <f>IF('02_Base_Solicitudes'!A15="","",'02_Base_Solicitudes'!R15)</f>
        <v>OT-UM-202606-014</v>
      </c>
      <c r="B17" s="30">
        <f>IF('02_Base_Solicitudes'!A15="","",'02_Base_Solicitudes'!A15)</f>
        <v>14</v>
      </c>
      <c r="C17" s="31">
        <f>IF('02_Base_Solicitudes'!A15="","",'02_Base_Solicitudes'!C15)</f>
        <v>46200</v>
      </c>
      <c r="D17" s="23" t="str">
        <f>IF('02_Base_Solicitudes'!A15="","",'02_Base_Solicitudes'!D15)</f>
        <v>Vicerrectoria</v>
      </c>
      <c r="E17" s="23" t="str">
        <f>IF('02_Base_Solicitudes'!A15="","",'02_Base_Solicitudes'!E15)</f>
        <v>Jose Luis Castro Guerra</v>
      </c>
      <c r="F17" s="23" t="str">
        <f>IF('02_Base_Solicitudes'!A15="","",'02_Base_Solicitudes'!G15)</f>
        <v>vice-rectoria@unimetro.edu.co</v>
      </c>
      <c r="G17" s="23" t="str">
        <f>IF('02_Base_Solicitudes'!A15="","",'02_Base_Solicitudes'!H15)</f>
        <v>Agendas  - 2ndo lote de 500 unidades para 30Sep</v>
      </c>
      <c r="H17" s="32" t="str">
        <f>IF('02_Base_Solicitudes'!A15="","",'02_Base_Solicitudes'!I15)</f>
        <v>Agendas</v>
      </c>
      <c r="I17" s="30">
        <f>IF('02_Base_Solicitudes'!A15="","",'02_Base_Solicitudes'!J15)</f>
        <v>500</v>
      </c>
      <c r="J17" s="23" t="str">
        <f>IF('02_Base_Solicitudes'!A15="","",'02_Base_Solicitudes'!M15)</f>
        <v>Programado</v>
      </c>
      <c r="K17" s="33">
        <f>IF('02_Base_Solicitudes'!A15="","",'02_Base_Solicitudes'!K15)</f>
        <v>46310</v>
      </c>
      <c r="L17" s="19" t="str">
        <f t="shared" si="0"/>
        <v>Julio Rivera</v>
      </c>
      <c r="M17" s="19" t="s">
        <v>24</v>
      </c>
      <c r="N17" s="34" t="s">
        <v>174</v>
      </c>
      <c r="O17" s="35">
        <v>46175</v>
      </c>
      <c r="P17" s="34" t="s">
        <v>296</v>
      </c>
      <c r="Q17" s="34" t="s">
        <v>174</v>
      </c>
      <c r="R17" s="34" t="s">
        <v>286</v>
      </c>
      <c r="S17" s="19" t="s">
        <v>207</v>
      </c>
      <c r="T17" s="19" t="s">
        <v>171</v>
      </c>
      <c r="U17" s="19" t="s">
        <v>229</v>
      </c>
      <c r="V17" s="19" t="s">
        <v>170</v>
      </c>
      <c r="W17" s="34" t="s">
        <v>174</v>
      </c>
      <c r="X17" s="34" t="s">
        <v>186</v>
      </c>
      <c r="Y17" s="40">
        <v>46280</v>
      </c>
      <c r="Z17" s="19"/>
      <c r="AA17" s="34">
        <v>500</v>
      </c>
      <c r="AB17" s="34">
        <f>50+40+50+6+10+2+130+212</f>
        <v>500</v>
      </c>
      <c r="AC17" s="34" t="s">
        <v>174</v>
      </c>
      <c r="AD17" s="19" t="s">
        <v>387</v>
      </c>
      <c r="AE17" s="35">
        <v>46297</v>
      </c>
      <c r="AF17" s="34" t="str">
        <f>OTMaestraTable[[#This Row],[Solicitante]]</f>
        <v>Jose Luis Castro Guerra</v>
      </c>
      <c r="AG17" s="35">
        <v>46297</v>
      </c>
      <c r="AH17" s="19" t="s">
        <v>220</v>
      </c>
      <c r="AI17" s="30">
        <f t="shared" si="1"/>
        <v>97</v>
      </c>
      <c r="AJ17" s="30" t="str">
        <f t="shared" si="2"/>
        <v>Sí</v>
      </c>
      <c r="AK17" s="30" t="str">
        <f t="shared" si="3"/>
        <v>OK</v>
      </c>
      <c r="AL17" s="19" t="s">
        <v>403</v>
      </c>
    </row>
    <row r="18" spans="1:38" ht="73.5" customHeight="1">
      <c r="A18" s="23" t="str">
        <f>IF('02_Base_Solicitudes'!A16="","",'02_Base_Solicitudes'!R16)</f>
        <v>OT-UM-202609-015</v>
      </c>
      <c r="B18" s="30">
        <f>IF('02_Base_Solicitudes'!A16="","",'02_Base_Solicitudes'!A16)</f>
        <v>15</v>
      </c>
      <c r="C18" s="31">
        <f>IF('02_Base_Solicitudes'!A16="","",'02_Base_Solicitudes'!C16)</f>
        <v>46267</v>
      </c>
      <c r="D18" s="23" t="str">
        <f>IF('02_Base_Solicitudes'!A16="","",'02_Base_Solicitudes'!D16)</f>
        <v>Rectoria - Alta consejeria</v>
      </c>
      <c r="E18" s="23" t="str">
        <f>IF('02_Base_Solicitudes'!A16="","",'02_Base_Solicitudes'!E16)</f>
        <v>Camilo Robledo</v>
      </c>
      <c r="F18" s="23" t="str">
        <f>IF('02_Base_Solicitudes'!A16="","",'02_Base_Solicitudes'!G16)</f>
        <v>coordinadordecontenidos@unimetro.edu.co</v>
      </c>
      <c r="G18" s="23" t="str">
        <f>IF('02_Base_Solicitudes'!A16="","",'02_Base_Solicitudes'!H16)</f>
        <v>Calendario 2027</v>
      </c>
      <c r="H18" s="32" t="str">
        <f>IF('02_Base_Solicitudes'!A16="","",'02_Base_Solicitudes'!I16)</f>
        <v>Calendarios</v>
      </c>
      <c r="I18" s="30">
        <f>IF('02_Base_Solicitudes'!A16="","",'02_Base_Solicitudes'!J16)</f>
        <v>4000</v>
      </c>
      <c r="J18" s="23" t="str">
        <f>IF('02_Base_Solicitudes'!A16="","",'02_Base_Solicitudes'!M16)</f>
        <v>Programado</v>
      </c>
      <c r="K18" s="33">
        <f>IF('02_Base_Solicitudes'!A16="","",'02_Base_Solicitudes'!K16)</f>
        <v>46326</v>
      </c>
      <c r="L18" s="19" t="str">
        <f t="shared" si="0"/>
        <v>Julio Rivera</v>
      </c>
      <c r="M18" s="19" t="s">
        <v>24</v>
      </c>
      <c r="N18" s="34" t="str">
        <f t="shared" ref="N18:N35" si="4">IF($A18="","","No")</f>
        <v>No</v>
      </c>
      <c r="O18" s="35"/>
      <c r="P18" s="34" t="s">
        <v>319</v>
      </c>
      <c r="Q18" s="34" t="s">
        <v>186</v>
      </c>
      <c r="R18" s="34" t="s">
        <v>286</v>
      </c>
      <c r="S18" s="19" t="s">
        <v>207</v>
      </c>
      <c r="T18" s="19" t="s">
        <v>360</v>
      </c>
      <c r="U18" s="19" t="s">
        <v>216</v>
      </c>
      <c r="V18" s="19" t="s">
        <v>170</v>
      </c>
      <c r="W18" s="34" t="s">
        <v>174</v>
      </c>
      <c r="X18" s="34" t="s">
        <v>174</v>
      </c>
      <c r="Y18" s="40">
        <v>46296</v>
      </c>
      <c r="Z18" s="19"/>
      <c r="AA18" s="34"/>
      <c r="AB18" s="34"/>
      <c r="AC18" s="34" t="str">
        <f t="shared" ref="AC18:AC35" si="5">IF($A18="","","Pendiente")</f>
        <v>Pendiente</v>
      </c>
      <c r="AD18" s="19"/>
      <c r="AE18" s="19"/>
      <c r="AF18" s="34" t="str">
        <f>OTMaestraTable[[#This Row],[Solicitante]]</f>
        <v>Camilo Robledo</v>
      </c>
      <c r="AG18" s="19"/>
      <c r="AH18" s="19" t="s">
        <v>179</v>
      </c>
      <c r="AI18" s="30" t="str">
        <f t="shared" si="1"/>
        <v/>
      </c>
      <c r="AJ18" s="30" t="str">
        <f t="shared" si="2"/>
        <v>Pendiente</v>
      </c>
      <c r="AK18" s="30" t="str">
        <f t="shared" si="3"/>
        <v>OK</v>
      </c>
      <c r="AL18" s="19"/>
    </row>
    <row r="19" spans="1:38" ht="196.5" customHeight="1">
      <c r="A19" s="23" t="str">
        <f>IF('02_Base_Solicitudes'!A17="","",'02_Base_Solicitudes'!R17)</f>
        <v>OT-UM-202608-016</v>
      </c>
      <c r="B19" s="30">
        <f>IF('02_Base_Solicitudes'!A17="","",'02_Base_Solicitudes'!A17)</f>
        <v>16</v>
      </c>
      <c r="C19" s="31">
        <f>IF('02_Base_Solicitudes'!A17="","",'02_Base_Solicitudes'!C17)</f>
        <v>46238</v>
      </c>
      <c r="D19" s="23" t="str">
        <f>IF('02_Base_Solicitudes'!A17="","",'02_Base_Solicitudes'!D17)</f>
        <v>Vicerrectoria - Direccion de bienestar universitario</v>
      </c>
      <c r="E19" s="23" t="str">
        <f>IF('02_Base_Solicitudes'!A17="","",'02_Base_Solicitudes'!E17)</f>
        <v>Katty Aguas Gamarra</v>
      </c>
      <c r="F19" s="23" t="str">
        <f>IF('02_Base_Solicitudes'!A17="","",'02_Base_Solicitudes'!G17)</f>
        <v>desarrollohumano@unimetro.edu.co</v>
      </c>
      <c r="G19" s="23" t="str">
        <f>IF('02_Base_Solicitudes'!A17="","",'02_Base_Solicitudes'!H17)</f>
        <v>ACTUALIZACION DE FOLLETO DE SALUD MENTAL</v>
      </c>
      <c r="H19" s="32" t="str">
        <f>IF('02_Base_Solicitudes'!A17="","",'02_Base_Solicitudes'!I17)</f>
        <v>Folletos</v>
      </c>
      <c r="I19" s="30">
        <f>IF('02_Base_Solicitudes'!A17="","",'02_Base_Solicitudes'!J17)</f>
        <v>2000</v>
      </c>
      <c r="J19" s="23" t="str">
        <f>IF('02_Base_Solicitudes'!A17="","",'02_Base_Solicitudes'!M17)</f>
        <v>Programado</v>
      </c>
      <c r="K19" s="33">
        <f>IF('02_Base_Solicitudes'!A17="","",'02_Base_Solicitudes'!K17)</f>
        <v>46275</v>
      </c>
      <c r="L19" s="19" t="str">
        <f t="shared" si="0"/>
        <v>Julio Rivera</v>
      </c>
      <c r="M19" s="19" t="s">
        <v>24</v>
      </c>
      <c r="N19" s="34" t="s">
        <v>174</v>
      </c>
      <c r="O19" s="35">
        <v>46240</v>
      </c>
      <c r="P19" s="34" t="s">
        <v>330</v>
      </c>
      <c r="Q19" s="34" t="s">
        <v>174</v>
      </c>
      <c r="R19" s="34" t="s">
        <v>333</v>
      </c>
      <c r="S19" s="19" t="s">
        <v>207</v>
      </c>
      <c r="T19" s="19" t="s">
        <v>358</v>
      </c>
      <c r="U19" s="19" t="s">
        <v>184</v>
      </c>
      <c r="V19" s="19" t="s">
        <v>170</v>
      </c>
      <c r="W19" s="34" t="s">
        <v>174</v>
      </c>
      <c r="X19" s="34" t="s">
        <v>174</v>
      </c>
      <c r="Y19" s="40">
        <v>46252</v>
      </c>
      <c r="Z19" s="35">
        <v>46254</v>
      </c>
      <c r="AA19" s="34">
        <v>2000</v>
      </c>
      <c r="AB19" s="34">
        <v>0</v>
      </c>
      <c r="AC19" s="34" t="s">
        <v>174</v>
      </c>
      <c r="AD19" s="19" t="s">
        <v>340</v>
      </c>
      <c r="AE19" s="35">
        <v>46255</v>
      </c>
      <c r="AF19" s="34" t="str">
        <f>OTMaestraTable[[#This Row],[Solicitante]]</f>
        <v>Katty Aguas Gamarra</v>
      </c>
      <c r="AG19" s="35">
        <v>46255</v>
      </c>
      <c r="AH19" s="19" t="s">
        <v>220</v>
      </c>
      <c r="AI19" s="30">
        <f t="shared" si="1"/>
        <v>17</v>
      </c>
      <c r="AJ19" s="30" t="str">
        <f t="shared" si="2"/>
        <v>Sí</v>
      </c>
      <c r="AK19" s="30" t="str">
        <f t="shared" si="3"/>
        <v>OK</v>
      </c>
      <c r="AL19" s="19" t="s">
        <v>346</v>
      </c>
    </row>
    <row r="20" spans="1:38" ht="140">
      <c r="A20" s="23" t="str">
        <f>IF('02_Base_Solicitudes'!A18="","",'02_Base_Solicitudes'!R18)</f>
        <v>OT-UM-202608-017</v>
      </c>
      <c r="B20" s="30">
        <f>IF('02_Base_Solicitudes'!A18="","",'02_Base_Solicitudes'!A18)</f>
        <v>17</v>
      </c>
      <c r="C20" s="31">
        <f>IF('02_Base_Solicitudes'!A18="","",'02_Base_Solicitudes'!C18)</f>
        <v>46238</v>
      </c>
      <c r="D20" s="23" t="str">
        <f>IF('02_Base_Solicitudes'!A18="","",'02_Base_Solicitudes'!D18)</f>
        <v>Rectoria - Comunicaciones y Mercadeo</v>
      </c>
      <c r="E20" s="23" t="str">
        <f>IF('02_Base_Solicitudes'!A18="","",'02_Base_Solicitudes'!E18)</f>
        <v>Julio Higgins</v>
      </c>
      <c r="F20" s="23" t="str">
        <f>IF('02_Base_Solicitudes'!A18="","",'02_Base_Solicitudes'!G18)</f>
        <v>relacionespublicas@unimetro.edu.co</v>
      </c>
      <c r="G20" s="23" t="str">
        <f>IF('02_Base_Solicitudes'!A18="","",'02_Base_Solicitudes'!H18)</f>
        <v>Volantes Pregrado y Postgrado Unimetro</v>
      </c>
      <c r="H20" s="32" t="str">
        <f>IF('02_Base_Solicitudes'!A18="","",'02_Base_Solicitudes'!I18)</f>
        <v>Volantes</v>
      </c>
      <c r="I20" s="30">
        <f>IF('02_Base_Solicitudes'!A18="","",'02_Base_Solicitudes'!J18)</f>
        <v>500</v>
      </c>
      <c r="J20" s="23" t="str">
        <f>IF('02_Base_Solicitudes'!A18="","",'02_Base_Solicitudes'!M18)</f>
        <v>Urgente</v>
      </c>
      <c r="K20" s="33">
        <f>IF('02_Base_Solicitudes'!A18="","",'02_Base_Solicitudes'!K18)</f>
        <v>46239</v>
      </c>
      <c r="L20" s="19" t="str">
        <f t="shared" si="0"/>
        <v>Julio Rivera</v>
      </c>
      <c r="M20" s="19" t="s">
        <v>24</v>
      </c>
      <c r="N20" s="34" t="s">
        <v>174</v>
      </c>
      <c r="O20" s="35">
        <v>46238</v>
      </c>
      <c r="P20" s="42" t="s">
        <v>317</v>
      </c>
      <c r="Q20" s="34" t="s">
        <v>174</v>
      </c>
      <c r="R20" s="34" t="s">
        <v>318</v>
      </c>
      <c r="S20" s="19" t="s">
        <v>197</v>
      </c>
      <c r="T20" s="19" t="s">
        <v>358</v>
      </c>
      <c r="U20" s="19" t="s">
        <v>184</v>
      </c>
      <c r="V20" s="19" t="s">
        <v>170</v>
      </c>
      <c r="W20" s="34" t="s">
        <v>174</v>
      </c>
      <c r="X20" s="34" t="s">
        <v>174</v>
      </c>
      <c r="Y20" s="40">
        <v>46238</v>
      </c>
      <c r="Z20" s="35">
        <v>46238</v>
      </c>
      <c r="AA20" s="34">
        <v>900</v>
      </c>
      <c r="AB20" s="34">
        <v>0</v>
      </c>
      <c r="AC20" s="34" t="s">
        <v>174</v>
      </c>
      <c r="AD20" s="19" t="s">
        <v>320</v>
      </c>
      <c r="AE20" s="35">
        <v>46239</v>
      </c>
      <c r="AF20" s="34" t="str">
        <f>OTMaestraTable[[#This Row],[Solicitante]]</f>
        <v>Julio Higgins</v>
      </c>
      <c r="AG20" s="35">
        <v>46239</v>
      </c>
      <c r="AH20" s="19" t="s">
        <v>220</v>
      </c>
      <c r="AI20" s="30">
        <f t="shared" si="1"/>
        <v>1</v>
      </c>
      <c r="AJ20" s="30" t="str">
        <f t="shared" si="2"/>
        <v>Sí</v>
      </c>
      <c r="AK20" s="30" t="str">
        <f t="shared" si="3"/>
        <v>OK</v>
      </c>
      <c r="AL20" s="19" t="s">
        <v>321</v>
      </c>
    </row>
    <row r="21" spans="1:38" ht="165" customHeight="1">
      <c r="A21" s="23" t="str">
        <f>IF('02_Base_Solicitudes'!A19="","",'02_Base_Solicitudes'!R19)</f>
        <v>OT-UM-202608-018</v>
      </c>
      <c r="B21" s="30">
        <f>IF('02_Base_Solicitudes'!A19="","",'02_Base_Solicitudes'!A19)</f>
        <v>18</v>
      </c>
      <c r="C21" s="31">
        <f>IF('02_Base_Solicitudes'!A19="","",'02_Base_Solicitudes'!C19)</f>
        <v>46238</v>
      </c>
      <c r="D21" s="23" t="str">
        <f>IF('02_Base_Solicitudes'!A19="","",'02_Base_Solicitudes'!D19)</f>
        <v>Vicerrectoria - Direccion de bienestar universitario</v>
      </c>
      <c r="E21" s="23" t="str">
        <f>IF('02_Base_Solicitudes'!A19="","",'02_Base_Solicitudes'!E19)</f>
        <v>Katty Aguas Gamarra</v>
      </c>
      <c r="F21" s="23" t="str">
        <f>IF('02_Base_Solicitudes'!A19="","",'02_Base_Solicitudes'!G19)</f>
        <v>desarrollohumano@unimetro.edu.co</v>
      </c>
      <c r="G21" s="23" t="str">
        <f>IF('02_Base_Solicitudes'!A19="","",'02_Base_Solicitudes'!H19)</f>
        <v>ACTUALIZACION DE FOLLETO DE LOS SERVICIOS DE BIENESTAR UNIVERSITARIO</v>
      </c>
      <c r="H21" s="32" t="str">
        <f>IF('02_Base_Solicitudes'!A19="","",'02_Base_Solicitudes'!I19)</f>
        <v>Folletos</v>
      </c>
      <c r="I21" s="30">
        <f>IF('02_Base_Solicitudes'!A19="","",'02_Base_Solicitudes'!J19)</f>
        <v>2000</v>
      </c>
      <c r="J21" s="23" t="str">
        <f>IF('02_Base_Solicitudes'!A19="","",'02_Base_Solicitudes'!M19)</f>
        <v>Programado</v>
      </c>
      <c r="K21" s="33">
        <f>IF('02_Base_Solicitudes'!A19="","",'02_Base_Solicitudes'!K19)</f>
        <v>46296</v>
      </c>
      <c r="L21" s="19" t="str">
        <f t="shared" si="0"/>
        <v>Julio Rivera</v>
      </c>
      <c r="M21" s="19" t="s">
        <v>24</v>
      </c>
      <c r="N21" s="34" t="s">
        <v>174</v>
      </c>
      <c r="O21" s="35">
        <v>46240</v>
      </c>
      <c r="P21" s="34" t="s">
        <v>329</v>
      </c>
      <c r="Q21" s="34" t="s">
        <v>174</v>
      </c>
      <c r="R21" s="34" t="s">
        <v>339</v>
      </c>
      <c r="S21" s="19" t="s">
        <v>207</v>
      </c>
      <c r="T21" s="19" t="s">
        <v>358</v>
      </c>
      <c r="U21" s="19" t="s">
        <v>184</v>
      </c>
      <c r="V21" s="19" t="s">
        <v>170</v>
      </c>
      <c r="W21" s="34" t="s">
        <v>174</v>
      </c>
      <c r="X21" s="34" t="s">
        <v>174</v>
      </c>
      <c r="Y21" s="40">
        <v>46252</v>
      </c>
      <c r="Z21" s="35">
        <v>46254</v>
      </c>
      <c r="AA21" s="34">
        <v>2000</v>
      </c>
      <c r="AB21" s="34">
        <v>0</v>
      </c>
      <c r="AC21" s="34" t="s">
        <v>174</v>
      </c>
      <c r="AD21" s="19" t="s">
        <v>343</v>
      </c>
      <c r="AE21" s="35">
        <v>46255</v>
      </c>
      <c r="AF21" s="34" t="str">
        <f>OTMaestraTable[[#This Row],[Solicitante]]</f>
        <v>Katty Aguas Gamarra</v>
      </c>
      <c r="AG21" s="35">
        <v>46255</v>
      </c>
      <c r="AH21" s="19" t="s">
        <v>220</v>
      </c>
      <c r="AI21" s="30">
        <f t="shared" si="1"/>
        <v>17</v>
      </c>
      <c r="AJ21" s="30" t="str">
        <f t="shared" si="2"/>
        <v>Sí</v>
      </c>
      <c r="AK21" s="30" t="str">
        <f t="shared" si="3"/>
        <v>OK</v>
      </c>
      <c r="AL21" s="19" t="s">
        <v>345</v>
      </c>
    </row>
    <row r="22" spans="1:38" ht="192.5" customHeight="1">
      <c r="A22" s="23" t="str">
        <f>IF('02_Base_Solicitudes'!A20="","",'02_Base_Solicitudes'!R20)</f>
        <v>OT-UM-202608-019</v>
      </c>
      <c r="B22" s="30">
        <f>IF('02_Base_Solicitudes'!A20="","",'02_Base_Solicitudes'!A20)</f>
        <v>19</v>
      </c>
      <c r="C22" s="31">
        <f>IF('02_Base_Solicitudes'!A20="","",'02_Base_Solicitudes'!C20)</f>
        <v>46245</v>
      </c>
      <c r="D22" s="23" t="str">
        <f>IF('02_Base_Solicitudes'!A20="","",'02_Base_Solicitudes'!D20)</f>
        <v>Rectoria - Comunicaciones y Mercadeo</v>
      </c>
      <c r="E22" s="23" t="str">
        <f>IF('02_Base_Solicitudes'!A20="","",'02_Base_Solicitudes'!E20)</f>
        <v>Julio Higgins</v>
      </c>
      <c r="F22" s="23" t="str">
        <f>IF('02_Base_Solicitudes'!A20="","",'02_Base_Solicitudes'!G20)</f>
        <v>relacionespublicas@unimetro.edu.co</v>
      </c>
      <c r="G22" s="23" t="str">
        <f>IF('02_Base_Solicitudes'!A20="","",'02_Base_Solicitudes'!H20)</f>
        <v>Volantes QR Pregrado y Postgrado Actualizado Unimetro</v>
      </c>
      <c r="H22" s="32" t="str">
        <f>IF('02_Base_Solicitudes'!A20="","",'02_Base_Solicitudes'!I20)</f>
        <v>Volantes</v>
      </c>
      <c r="I22" s="30">
        <f>IF('02_Base_Solicitudes'!A20="","",'02_Base_Solicitudes'!J20)</f>
        <v>2000</v>
      </c>
      <c r="J22" s="23" t="s">
        <v>191</v>
      </c>
      <c r="K22" s="33">
        <f>IF('02_Base_Solicitudes'!A20="","",'02_Base_Solicitudes'!K20)</f>
        <v>46295</v>
      </c>
      <c r="L22" s="19" t="str">
        <f t="shared" si="0"/>
        <v>Julio Rivera</v>
      </c>
      <c r="M22" s="19" t="s">
        <v>24</v>
      </c>
      <c r="N22" s="34" t="s">
        <v>174</v>
      </c>
      <c r="O22" s="35">
        <v>46245</v>
      </c>
      <c r="P22" s="34" t="s">
        <v>332</v>
      </c>
      <c r="Q22" s="34" t="s">
        <v>174</v>
      </c>
      <c r="R22" s="34" t="s">
        <v>333</v>
      </c>
      <c r="S22" s="19" t="s">
        <v>197</v>
      </c>
      <c r="T22" s="19" t="s">
        <v>358</v>
      </c>
      <c r="U22" s="19" t="s">
        <v>184</v>
      </c>
      <c r="V22" s="19" t="s">
        <v>170</v>
      </c>
      <c r="W22" s="34" t="s">
        <v>174</v>
      </c>
      <c r="X22" s="34" t="s">
        <v>174</v>
      </c>
      <c r="Y22" s="40">
        <v>46260</v>
      </c>
      <c r="Z22" s="40">
        <v>46261</v>
      </c>
      <c r="AA22" s="34">
        <v>2000</v>
      </c>
      <c r="AB22" s="34">
        <v>0</v>
      </c>
      <c r="AC22" s="34" t="s">
        <v>174</v>
      </c>
      <c r="AD22" s="19" t="s">
        <v>362</v>
      </c>
      <c r="AE22" s="35">
        <v>46262</v>
      </c>
      <c r="AF22" s="34" t="str">
        <f>OTMaestraTable[[#This Row],[Solicitante]]</f>
        <v>Julio Higgins</v>
      </c>
      <c r="AG22" s="35">
        <v>46262</v>
      </c>
      <c r="AH22" s="19" t="s">
        <v>220</v>
      </c>
      <c r="AI22" s="30">
        <f>IF(AND(C22&lt;&gt;"",AG22&lt;&gt;""),AG22-C22,"")</f>
        <v>17</v>
      </c>
      <c r="AJ22" s="30" t="str">
        <f t="shared" si="2"/>
        <v>Sí</v>
      </c>
      <c r="AK22" s="30" t="str">
        <f t="shared" si="3"/>
        <v>OK</v>
      </c>
      <c r="AL22" s="19" t="s">
        <v>361</v>
      </c>
    </row>
    <row r="23" spans="1:38" ht="204" customHeight="1">
      <c r="A23" s="23" t="str">
        <f>IF('02_Base_Solicitudes'!A21="","",'02_Base_Solicitudes'!R21)</f>
        <v>OT-UM-202608-020</v>
      </c>
      <c r="B23" s="30">
        <f>IF('02_Base_Solicitudes'!A21="","",'02_Base_Solicitudes'!A21)</f>
        <v>20</v>
      </c>
      <c r="C23" s="31">
        <f>IF('02_Base_Solicitudes'!A21="","",'02_Base_Solicitudes'!C21)</f>
        <v>46259</v>
      </c>
      <c r="D23" s="23" t="str">
        <f>IF('02_Base_Solicitudes'!A21="","",'02_Base_Solicitudes'!D21)</f>
        <v xml:space="preserve">Rectoria </v>
      </c>
      <c r="E23" s="23" t="str">
        <f>IF('02_Base_Solicitudes'!A21="","",'02_Base_Solicitudes'!E21)</f>
        <v>Lidia Cala</v>
      </c>
      <c r="F23" s="23" t="str">
        <f>IF('02_Base_Solicitudes'!A21="","",'02_Base_Solicitudes'!G21)</f>
        <v>rectoriaunimetro@unimetro.edu.co</v>
      </c>
      <c r="G23" s="23" t="str">
        <f>IF('02_Base_Solicitudes'!A21="","",'02_Base_Solicitudes'!H21)</f>
        <v>Miniblocks - pieza uso interno unimetro</v>
      </c>
      <c r="H23" s="32" t="str">
        <f>IF('02_Base_Solicitudes'!A21="","",'02_Base_Solicitudes'!I21)</f>
        <v>MiniBlocks</v>
      </c>
      <c r="I23" s="30">
        <v>1000</v>
      </c>
      <c r="J23" s="23" t="s">
        <v>191</v>
      </c>
      <c r="K23" s="33">
        <f>IF('02_Base_Solicitudes'!A21="","",'02_Base_Solicitudes'!K21)</f>
        <v>46295</v>
      </c>
      <c r="L23" s="19" t="str">
        <f t="shared" si="0"/>
        <v>Julio Rivera</v>
      </c>
      <c r="M23" s="19" t="s">
        <v>193</v>
      </c>
      <c r="N23" s="34" t="s">
        <v>174</v>
      </c>
      <c r="O23" s="35">
        <v>46259</v>
      </c>
      <c r="P23" s="34" t="s">
        <v>354</v>
      </c>
      <c r="Q23" s="34" t="s">
        <v>174</v>
      </c>
      <c r="R23" s="34" t="s">
        <v>353</v>
      </c>
      <c r="S23" s="19" t="s">
        <v>197</v>
      </c>
      <c r="T23" s="19" t="s">
        <v>359</v>
      </c>
      <c r="U23" s="19" t="s">
        <v>206</v>
      </c>
      <c r="V23" s="19" t="s">
        <v>170</v>
      </c>
      <c r="W23" s="34" t="s">
        <v>174</v>
      </c>
      <c r="X23" s="34" t="s">
        <v>174</v>
      </c>
      <c r="Y23" s="40">
        <v>46261</v>
      </c>
      <c r="Z23" s="40">
        <v>46293</v>
      </c>
      <c r="AA23" s="34">
        <v>1152</v>
      </c>
      <c r="AB23" s="34">
        <f>50+110+220+340+280</f>
        <v>1000</v>
      </c>
      <c r="AC23" s="34" t="s">
        <v>174</v>
      </c>
      <c r="AD23" s="19" t="s">
        <v>389</v>
      </c>
      <c r="AE23" s="35">
        <v>46294</v>
      </c>
      <c r="AF23" s="34" t="str">
        <f>OTMaestraTable[[#This Row],[Solicitante]]</f>
        <v>Lidia Cala</v>
      </c>
      <c r="AG23" s="35">
        <v>46294</v>
      </c>
      <c r="AH23" s="19" t="s">
        <v>220</v>
      </c>
      <c r="AI23" s="30">
        <f t="shared" si="1"/>
        <v>35</v>
      </c>
      <c r="AJ23" s="30" t="str">
        <f t="shared" si="2"/>
        <v>Sí</v>
      </c>
      <c r="AK23" s="30" t="str">
        <f t="shared" si="3"/>
        <v>OK</v>
      </c>
      <c r="AL23" s="19" t="s">
        <v>404</v>
      </c>
    </row>
    <row r="24" spans="1:38" ht="196">
      <c r="A24" s="23" t="str">
        <f>IF('02_Base_Solicitudes'!A22="","",'02_Base_Solicitudes'!R22)</f>
        <v>OT-UM-202608-021</v>
      </c>
      <c r="B24" s="30">
        <f>IF('02_Base_Solicitudes'!A22="","",'02_Base_Solicitudes'!A22)</f>
        <v>21</v>
      </c>
      <c r="C24" s="31">
        <f>IF('02_Base_Solicitudes'!A22="","",'02_Base_Solicitudes'!C22)</f>
        <v>46260</v>
      </c>
      <c r="D24" s="23" t="str">
        <f>IF('02_Base_Solicitudes'!A22="","",'02_Base_Solicitudes'!D22)</f>
        <v>Vicerrectoria - Direccion de bienestar universitario</v>
      </c>
      <c r="E24" s="23" t="str">
        <f>IF('02_Base_Solicitudes'!A22="","",'02_Base_Solicitudes'!E22)</f>
        <v>Katty Aguas Gamarra</v>
      </c>
      <c r="F24" s="23" t="str">
        <f>IF('02_Base_Solicitudes'!A22="","",'02_Base_Solicitudes'!G22)</f>
        <v>desarrollohumano@unimetro.edu.co</v>
      </c>
      <c r="G24" s="23" t="str">
        <f>IF('02_Base_Solicitudes'!A22="","",'02_Base_Solicitudes'!H22)</f>
        <v>Separadores de libros sobre salud mental</v>
      </c>
      <c r="H24" s="32" t="str">
        <f>IF('02_Base_Solicitudes'!A22="","",'02_Base_Solicitudes'!I22)</f>
        <v>Separadores de libros</v>
      </c>
      <c r="I24" s="30">
        <f>IF('02_Base_Solicitudes'!A22="","",'02_Base_Solicitudes'!J22)</f>
        <v>1000</v>
      </c>
      <c r="J24" s="23" t="s">
        <v>191</v>
      </c>
      <c r="K24" s="33">
        <f>IF('02_Base_Solicitudes'!A22="","",'02_Base_Solicitudes'!K22)</f>
        <v>46274</v>
      </c>
      <c r="L24" s="19" t="str">
        <f t="shared" si="0"/>
        <v>Julio Rivera</v>
      </c>
      <c r="M24" s="19" t="s">
        <v>24</v>
      </c>
      <c r="N24" s="34" t="s">
        <v>174</v>
      </c>
      <c r="O24" s="35">
        <v>46261</v>
      </c>
      <c r="P24" s="34" t="s">
        <v>365</v>
      </c>
      <c r="Q24" s="34" t="s">
        <v>174</v>
      </c>
      <c r="R24" s="34" t="s">
        <v>333</v>
      </c>
      <c r="S24" s="19" t="s">
        <v>207</v>
      </c>
      <c r="T24" s="19" t="s">
        <v>359</v>
      </c>
      <c r="U24" s="19" t="s">
        <v>184</v>
      </c>
      <c r="V24" s="19" t="s">
        <v>170</v>
      </c>
      <c r="W24" s="34" t="s">
        <v>174</v>
      </c>
      <c r="X24" s="34" t="s">
        <v>174</v>
      </c>
      <c r="Y24" s="40">
        <v>46269</v>
      </c>
      <c r="Z24" s="35">
        <v>46272</v>
      </c>
      <c r="AA24" s="34">
        <v>1000</v>
      </c>
      <c r="AB24" s="34">
        <v>0</v>
      </c>
      <c r="AC24" s="34" t="s">
        <v>174</v>
      </c>
      <c r="AD24" s="19" t="s">
        <v>366</v>
      </c>
      <c r="AE24" s="35">
        <v>46273</v>
      </c>
      <c r="AF24" s="34" t="str">
        <f>OTMaestraTable[[#This Row],[Solicitante]]</f>
        <v>Katty Aguas Gamarra</v>
      </c>
      <c r="AG24" s="35">
        <v>46273</v>
      </c>
      <c r="AH24" s="19" t="s">
        <v>220</v>
      </c>
      <c r="AI24" s="30">
        <f t="shared" si="1"/>
        <v>13</v>
      </c>
      <c r="AJ24" s="30" t="str">
        <f t="shared" si="2"/>
        <v>Sí</v>
      </c>
      <c r="AK24" s="30" t="str">
        <f t="shared" si="3"/>
        <v>OK</v>
      </c>
      <c r="AL24" s="19" t="s">
        <v>367</v>
      </c>
    </row>
    <row r="25" spans="1:38" ht="112">
      <c r="A25" s="23" t="str">
        <f>IF('02_Base_Solicitudes'!A23="","",'02_Base_Solicitudes'!R23)</f>
        <v>OT-UM-202609-022</v>
      </c>
      <c r="B25" s="30">
        <f>IF('02_Base_Solicitudes'!A23="","",'02_Base_Solicitudes'!A23)</f>
        <v>22</v>
      </c>
      <c r="C25" s="31">
        <f>IF('02_Base_Solicitudes'!A23="","",'02_Base_Solicitudes'!C23)</f>
        <v>46272</v>
      </c>
      <c r="D25" s="23" t="str">
        <f>IF('02_Base_Solicitudes'!A23="","",'02_Base_Solicitudes'!D23)</f>
        <v>Rectoria</v>
      </c>
      <c r="E25" s="23" t="str">
        <f>IF('02_Base_Solicitudes'!A23="","",'02_Base_Solicitudes'!E23)</f>
        <v>Lidia Cala</v>
      </c>
      <c r="F25" s="23" t="str">
        <f>IF('02_Base_Solicitudes'!A23="","",'02_Base_Solicitudes'!G23)</f>
        <v>rectoriaunimetro@unimetro.edu.co</v>
      </c>
      <c r="G25" s="23" t="str">
        <f>IF('02_Base_Solicitudes'!A23="","",'02_Base_Solicitudes'!H23)</f>
        <v>Agendas- 3er lote de 500 agendas para 30 Oct</v>
      </c>
      <c r="H25" s="32" t="str">
        <f>IF('02_Base_Solicitudes'!A23="","",'02_Base_Solicitudes'!I23)</f>
        <v>Agendas</v>
      </c>
      <c r="I25" s="30">
        <f>IF('02_Base_Solicitudes'!A23="","",'02_Base_Solicitudes'!J23)</f>
        <v>500</v>
      </c>
      <c r="J25" s="23" t="str">
        <f>IF('02_Base_Solicitudes'!A23="","",'02_Base_Solicitudes'!M23)</f>
        <v>Programado</v>
      </c>
      <c r="K25" s="33">
        <f>IF('02_Base_Solicitudes'!A23="","",'02_Base_Solicitudes'!K23)</f>
        <v>46325</v>
      </c>
      <c r="L25" s="19" t="str">
        <f t="shared" si="0"/>
        <v>Julio Rivera</v>
      </c>
      <c r="M25" s="19" t="s">
        <v>24</v>
      </c>
      <c r="N25" s="34" t="s">
        <v>174</v>
      </c>
      <c r="O25" s="35">
        <v>46272</v>
      </c>
      <c r="P25" s="34" t="s">
        <v>431</v>
      </c>
      <c r="Q25" s="34" t="s">
        <v>186</v>
      </c>
      <c r="R25" s="34" t="s">
        <v>286</v>
      </c>
      <c r="S25" s="19" t="s">
        <v>207</v>
      </c>
      <c r="T25" s="19" t="s">
        <v>171</v>
      </c>
      <c r="U25" s="19" t="s">
        <v>229</v>
      </c>
      <c r="V25" s="19" t="s">
        <v>170</v>
      </c>
      <c r="W25" s="34" t="s">
        <v>174</v>
      </c>
      <c r="X25" s="34" t="s">
        <v>174</v>
      </c>
      <c r="Y25" s="40">
        <v>46310</v>
      </c>
      <c r="Z25" s="19"/>
      <c r="AA25" s="34"/>
      <c r="AB25" s="34"/>
      <c r="AC25" s="34" t="str">
        <f t="shared" si="5"/>
        <v>Pendiente</v>
      </c>
      <c r="AD25" s="19" t="s">
        <v>432</v>
      </c>
      <c r="AE25" s="19"/>
      <c r="AF25" s="34" t="str">
        <f>OTMaestraTable[[#This Row],[Solicitante]]</f>
        <v>Lidia Cala</v>
      </c>
      <c r="AG25" s="19"/>
      <c r="AH25" s="19" t="s">
        <v>179</v>
      </c>
      <c r="AI25" s="30" t="str">
        <f t="shared" si="1"/>
        <v/>
      </c>
      <c r="AJ25" s="30" t="str">
        <f t="shared" si="2"/>
        <v>Pendiente</v>
      </c>
      <c r="AK25" s="30" t="str">
        <f t="shared" si="3"/>
        <v>OK</v>
      </c>
      <c r="AL25" s="19"/>
    </row>
    <row r="26" spans="1:38" ht="70">
      <c r="A26" s="23" t="str">
        <f>IF('02_Base_Solicitudes'!A24="","",'02_Base_Solicitudes'!R24)</f>
        <v>OT-UM-202609-023</v>
      </c>
      <c r="B26" s="30">
        <f>IF('02_Base_Solicitudes'!A24="","",'02_Base_Solicitudes'!A24)</f>
        <v>23</v>
      </c>
      <c r="C26" s="31">
        <f>IF('02_Base_Solicitudes'!A24="","",'02_Base_Solicitudes'!C24)</f>
        <v>46272</v>
      </c>
      <c r="D26" s="23" t="str">
        <f>IF('02_Base_Solicitudes'!A24="","",'02_Base_Solicitudes'!D24)</f>
        <v>Rectoria</v>
      </c>
      <c r="E26" s="23" t="str">
        <f>IF('02_Base_Solicitudes'!A24="","",'02_Base_Solicitudes'!E24)</f>
        <v>Lidia Cala</v>
      </c>
      <c r="F26" s="23" t="str">
        <f>IF('02_Base_Solicitudes'!A24="","",'02_Base_Solicitudes'!G24)</f>
        <v>rectoriaunimetro@unimetro.edu.co</v>
      </c>
      <c r="G26" s="23" t="str">
        <f>IF('02_Base_Solicitudes'!A24="","",'02_Base_Solicitudes'!H24)</f>
        <v>Agendas- 4to lote de 500 agendas para 30 Nov</v>
      </c>
      <c r="H26" s="32" t="str">
        <f>IF('02_Base_Solicitudes'!A24="","",'02_Base_Solicitudes'!I24)</f>
        <v>Agendas</v>
      </c>
      <c r="I26" s="30">
        <f>IF('02_Base_Solicitudes'!A24="","",'02_Base_Solicitudes'!J24)</f>
        <v>500</v>
      </c>
      <c r="J26" s="23" t="str">
        <f>IF('02_Base_Solicitudes'!A24="","",'02_Base_Solicitudes'!M24)</f>
        <v>Programado</v>
      </c>
      <c r="K26" s="33">
        <f>IF('02_Base_Solicitudes'!A24="","",'02_Base_Solicitudes'!K24)</f>
        <v>46356</v>
      </c>
      <c r="L26" s="19" t="str">
        <f t="shared" si="0"/>
        <v>Julio Rivera</v>
      </c>
      <c r="M26" s="19" t="s">
        <v>24</v>
      </c>
      <c r="N26" s="34" t="s">
        <v>174</v>
      </c>
      <c r="O26" s="35">
        <v>46272</v>
      </c>
      <c r="P26" s="34" t="s">
        <v>376</v>
      </c>
      <c r="Q26" s="34" t="s">
        <v>186</v>
      </c>
      <c r="R26" s="34" t="s">
        <v>286</v>
      </c>
      <c r="S26" s="19" t="s">
        <v>207</v>
      </c>
      <c r="T26" s="19" t="s">
        <v>171</v>
      </c>
      <c r="U26" s="19" t="s">
        <v>229</v>
      </c>
      <c r="V26" s="19" t="s">
        <v>170</v>
      </c>
      <c r="W26" s="34" t="str">
        <f t="shared" ref="W26:W43" si="6">IF($A26="","","Pendiente")</f>
        <v>Pendiente</v>
      </c>
      <c r="X26" s="34" t="s">
        <v>174</v>
      </c>
      <c r="Y26" s="40">
        <v>46331</v>
      </c>
      <c r="Z26" s="19"/>
      <c r="AA26" s="34"/>
      <c r="AB26" s="34"/>
      <c r="AC26" s="34" t="str">
        <f t="shared" si="5"/>
        <v>Pendiente</v>
      </c>
      <c r="AD26" s="19"/>
      <c r="AE26" s="19"/>
      <c r="AF26" s="34" t="str">
        <f>OTMaestraTable[[#This Row],[Solicitante]]</f>
        <v>Lidia Cala</v>
      </c>
      <c r="AG26" s="19"/>
      <c r="AH26" s="19" t="s">
        <v>179</v>
      </c>
      <c r="AI26" s="30" t="str">
        <f t="shared" si="1"/>
        <v/>
      </c>
      <c r="AJ26" s="30" t="str">
        <f t="shared" si="2"/>
        <v>Pendiente</v>
      </c>
      <c r="AK26" s="30" t="str">
        <f t="shared" si="3"/>
        <v>OK</v>
      </c>
      <c r="AL26" s="19"/>
    </row>
    <row r="27" spans="1:38" ht="112">
      <c r="A27" s="23" t="str">
        <f>IF('02_Base_Solicitudes'!A25="","",'02_Base_Solicitudes'!R25)</f>
        <v>OT-UM-202609-024</v>
      </c>
      <c r="B27" s="30">
        <f>IF('02_Base_Solicitudes'!A25="","",'02_Base_Solicitudes'!A25)</f>
        <v>24</v>
      </c>
      <c r="C27" s="31">
        <f>IF('02_Base_Solicitudes'!A25="","",'02_Base_Solicitudes'!C25)</f>
        <v>46279</v>
      </c>
      <c r="D27" s="23" t="str">
        <f>IF('02_Base_Solicitudes'!A25="","",'02_Base_Solicitudes'!D25)</f>
        <v>Vicerrectoria</v>
      </c>
      <c r="E27" s="23" t="str">
        <f>IF('02_Base_Solicitudes'!A25="","",'02_Base_Solicitudes'!E25)</f>
        <v>Jose Luis Castro Guerra</v>
      </c>
      <c r="F27" s="23" t="str">
        <f>IF('02_Base_Solicitudes'!A25="","",'02_Base_Solicitudes'!G25)</f>
        <v>vice-rectoria@unimetro.edu.co</v>
      </c>
      <c r="G27" s="23" t="str">
        <f>IF('02_Base_Solicitudes'!A25="","",'02_Base_Solicitudes'!H25)</f>
        <v xml:space="preserve">Tarjetas de presentación </v>
      </c>
      <c r="H27" s="32" t="str">
        <f>IF('02_Base_Solicitudes'!A25="","",'02_Base_Solicitudes'!I25)</f>
        <v>Tarjetas de presentación</v>
      </c>
      <c r="I27" s="30">
        <f>IF('02_Base_Solicitudes'!A25="","",'02_Base_Solicitudes'!J25)</f>
        <v>500</v>
      </c>
      <c r="J27" s="23" t="str">
        <f>IF('02_Base_Solicitudes'!A25="","",'02_Base_Solicitudes'!M25)</f>
        <v>Programado</v>
      </c>
      <c r="K27" s="33">
        <f>IF('02_Base_Solicitudes'!A25="","",'02_Base_Solicitudes'!K25)</f>
        <v>46295</v>
      </c>
      <c r="L27" s="19" t="str">
        <f t="shared" si="0"/>
        <v>Julio Rivera</v>
      </c>
      <c r="M27" s="19" t="s">
        <v>24</v>
      </c>
      <c r="N27" s="34" t="s">
        <v>174</v>
      </c>
      <c r="O27" s="35">
        <v>46279</v>
      </c>
      <c r="P27" s="34" t="s">
        <v>382</v>
      </c>
      <c r="Q27" s="34" t="s">
        <v>174</v>
      </c>
      <c r="R27" s="34" t="s">
        <v>333</v>
      </c>
      <c r="S27" s="19" t="s">
        <v>197</v>
      </c>
      <c r="T27" s="19" t="s">
        <v>359</v>
      </c>
      <c r="U27" s="19" t="s">
        <v>184</v>
      </c>
      <c r="V27" s="19" t="s">
        <v>170</v>
      </c>
      <c r="W27" s="34" t="s">
        <v>174</v>
      </c>
      <c r="X27" s="34" t="s">
        <v>186</v>
      </c>
      <c r="Y27" s="40">
        <v>46287</v>
      </c>
      <c r="Z27" s="35">
        <v>46289</v>
      </c>
      <c r="AA27" s="34">
        <v>500</v>
      </c>
      <c r="AB27" s="34">
        <v>0</v>
      </c>
      <c r="AC27" s="34" t="s">
        <v>174</v>
      </c>
      <c r="AD27" s="19" t="s">
        <v>393</v>
      </c>
      <c r="AE27" s="35">
        <v>46289</v>
      </c>
      <c r="AF27" s="34" t="str">
        <f>OTMaestraTable[[#This Row],[Solicitante]]</f>
        <v>Jose Luis Castro Guerra</v>
      </c>
      <c r="AG27" s="35">
        <v>46289</v>
      </c>
      <c r="AH27" s="19" t="s">
        <v>220</v>
      </c>
      <c r="AI27" s="30">
        <f t="shared" si="1"/>
        <v>10</v>
      </c>
      <c r="AJ27" s="30" t="str">
        <f t="shared" si="2"/>
        <v>Sí</v>
      </c>
      <c r="AK27" s="30" t="str">
        <f t="shared" si="3"/>
        <v>OK</v>
      </c>
      <c r="AL27" s="19" t="s">
        <v>394</v>
      </c>
    </row>
    <row r="28" spans="1:38" ht="56">
      <c r="A28" s="23" t="str">
        <f>IF('02_Base_Solicitudes'!A26="","",'02_Base_Solicitudes'!R26)</f>
        <v>OT-UM-202609-025</v>
      </c>
      <c r="B28" s="30">
        <f>IF('02_Base_Solicitudes'!A26="","",'02_Base_Solicitudes'!A26)</f>
        <v>25</v>
      </c>
      <c r="C28" s="31">
        <f>IF('02_Base_Solicitudes'!A26="","",'02_Base_Solicitudes'!C26)</f>
        <v>46283</v>
      </c>
      <c r="D28" s="23" t="str">
        <f>IF('02_Base_Solicitudes'!A26="","",'02_Base_Solicitudes'!D26)</f>
        <v>Vicerrectoria - Direccion de bienestar universitario</v>
      </c>
      <c r="E28" s="23" t="str">
        <f>IF('02_Base_Solicitudes'!A26="","",'02_Base_Solicitudes'!E26)</f>
        <v>Katty Aguas Gamarra</v>
      </c>
      <c r="F28" s="23" t="str">
        <f>IF('02_Base_Solicitudes'!A26="","",'02_Base_Solicitudes'!G26)</f>
        <v>desarrollohumano@unimetro.edu.co</v>
      </c>
      <c r="G28" s="23" t="str">
        <f>IF('02_Base_Solicitudes'!A26="","",'02_Base_Solicitudes'!H26)</f>
        <v>Separadores de libros sobre salud mental</v>
      </c>
      <c r="H28" s="32" t="str">
        <f>IF('02_Base_Solicitudes'!A26="","",'02_Base_Solicitudes'!I26)</f>
        <v>Separadores de libros</v>
      </c>
      <c r="I28" s="30">
        <f>IF('02_Base_Solicitudes'!A26="","",'02_Base_Solicitudes'!J26)</f>
        <v>1000</v>
      </c>
      <c r="J28" s="23" t="s">
        <v>191</v>
      </c>
      <c r="K28" s="33">
        <f>IF('02_Base_Solicitudes'!A26="","",'02_Base_Solicitudes'!K26)</f>
        <v>46309</v>
      </c>
      <c r="L28" s="19" t="str">
        <f t="shared" si="0"/>
        <v>Julio Rivera</v>
      </c>
      <c r="M28" s="19" t="s">
        <v>24</v>
      </c>
      <c r="N28" s="34" t="s">
        <v>186</v>
      </c>
      <c r="O28" s="35">
        <v>46293</v>
      </c>
      <c r="P28" s="34" t="s">
        <v>401</v>
      </c>
      <c r="Q28" s="34" t="s">
        <v>174</v>
      </c>
      <c r="R28" s="34" t="s">
        <v>333</v>
      </c>
      <c r="S28" s="19" t="s">
        <v>207</v>
      </c>
      <c r="T28" s="19" t="s">
        <v>359</v>
      </c>
      <c r="U28" s="19" t="s">
        <v>184</v>
      </c>
      <c r="V28" s="19" t="s">
        <v>170</v>
      </c>
      <c r="W28" s="34" t="s">
        <v>174</v>
      </c>
      <c r="X28" s="34" t="s">
        <v>186</v>
      </c>
      <c r="Y28" s="40">
        <v>46302</v>
      </c>
      <c r="Z28" s="19"/>
      <c r="AA28" s="34">
        <v>1000</v>
      </c>
      <c r="AB28" s="34"/>
      <c r="AC28" s="34" t="s">
        <v>174</v>
      </c>
      <c r="AD28" s="19"/>
      <c r="AE28" s="19"/>
      <c r="AF28" s="34" t="str">
        <f>OTMaestraTable[[#This Row],[Solicitante]]</f>
        <v>Katty Aguas Gamarra</v>
      </c>
      <c r="AG28" s="19"/>
      <c r="AH28" s="19" t="s">
        <v>192</v>
      </c>
      <c r="AI28" s="30" t="str">
        <f t="shared" si="1"/>
        <v/>
      </c>
      <c r="AJ28" s="30" t="str">
        <f t="shared" si="2"/>
        <v>Pendiente</v>
      </c>
      <c r="AK28" s="30" t="str">
        <f t="shared" si="3"/>
        <v>OK</v>
      </c>
      <c r="AL28" s="19"/>
    </row>
    <row r="29" spans="1:38" ht="56">
      <c r="A29" s="23" t="str">
        <f>IF('02_Base_Solicitudes'!A27="","",'02_Base_Solicitudes'!R27)</f>
        <v>OT-UM-202609-026</v>
      </c>
      <c r="B29" s="30">
        <f>IF('02_Base_Solicitudes'!A27="","",'02_Base_Solicitudes'!A27)</f>
        <v>26</v>
      </c>
      <c r="C29" s="31">
        <f>IF('02_Base_Solicitudes'!A27="","",'02_Base_Solicitudes'!C27)</f>
        <v>46287</v>
      </c>
      <c r="D29" s="23" t="str">
        <f>IF('02_Base_Solicitudes'!A27="","",'02_Base_Solicitudes'!D27)</f>
        <v xml:space="preserve">Rectoria </v>
      </c>
      <c r="E29" s="23" t="str">
        <f>IF('02_Base_Solicitudes'!A27="","",'02_Base_Solicitudes'!E27)</f>
        <v>Lidia Cala</v>
      </c>
      <c r="F29" s="23" t="str">
        <f>IF('02_Base_Solicitudes'!A27="","",'02_Base_Solicitudes'!G27)</f>
        <v>rectoriaunimetro@unimetro.edu.co</v>
      </c>
      <c r="G29" s="23" t="str">
        <f>IF('02_Base_Solicitudes'!A27="","",'02_Base_Solicitudes'!H27)</f>
        <v>Miniblocks - pieza uso interno unimetro</v>
      </c>
      <c r="H29" s="32" t="str">
        <f>IF('02_Base_Solicitudes'!A27="","",'02_Base_Solicitudes'!I27)</f>
        <v>MiniBlocks</v>
      </c>
      <c r="I29" s="30">
        <f>IF('02_Base_Solicitudes'!A27="","",'02_Base_Solicitudes'!J27)</f>
        <v>1000</v>
      </c>
      <c r="J29" s="23" t="s">
        <v>191</v>
      </c>
      <c r="K29" s="33">
        <f>IF('02_Base_Solicitudes'!A27="","",'02_Base_Solicitudes'!K27)</f>
        <v>46356</v>
      </c>
      <c r="L29" s="19" t="str">
        <f t="shared" si="0"/>
        <v>Julio Rivera</v>
      </c>
      <c r="M29" s="19" t="s">
        <v>24</v>
      </c>
      <c r="N29" s="34" t="s">
        <v>174</v>
      </c>
      <c r="O29" s="35">
        <v>46287</v>
      </c>
      <c r="P29" s="34" t="s">
        <v>392</v>
      </c>
      <c r="Q29" s="34" t="s">
        <v>174</v>
      </c>
      <c r="R29" s="34" t="s">
        <v>353</v>
      </c>
      <c r="S29" s="19" t="s">
        <v>197</v>
      </c>
      <c r="T29" s="19" t="s">
        <v>171</v>
      </c>
      <c r="U29" s="19" t="s">
        <v>206</v>
      </c>
      <c r="V29" s="19" t="s">
        <v>170</v>
      </c>
      <c r="W29" s="34" t="s">
        <v>174</v>
      </c>
      <c r="X29" s="34" t="s">
        <v>186</v>
      </c>
      <c r="Y29" s="34"/>
      <c r="Z29" s="19"/>
      <c r="AA29" s="34"/>
      <c r="AB29" s="34"/>
      <c r="AC29" s="34" t="str">
        <f t="shared" si="5"/>
        <v>Pendiente</v>
      </c>
      <c r="AD29" s="19"/>
      <c r="AE29" s="19"/>
      <c r="AF29" s="34" t="str">
        <f>OTMaestraTable[[#This Row],[Solicitante]]</f>
        <v>Lidia Cala</v>
      </c>
      <c r="AG29" s="19"/>
      <c r="AH29" s="19" t="s">
        <v>192</v>
      </c>
      <c r="AI29" s="30" t="str">
        <f t="shared" si="1"/>
        <v/>
      </c>
      <c r="AJ29" s="30" t="str">
        <f t="shared" si="2"/>
        <v>Pendiente</v>
      </c>
      <c r="AK29" s="30" t="str">
        <f t="shared" si="3"/>
        <v>OK</v>
      </c>
      <c r="AL29" s="19"/>
    </row>
    <row r="30" spans="1:38" ht="117" customHeight="1">
      <c r="A30" s="23" t="str">
        <f>IF('02_Base_Solicitudes'!A28="","",'02_Base_Solicitudes'!R28)</f>
        <v>OT-UM-202609-027</v>
      </c>
      <c r="B30" s="30">
        <f>IF('02_Base_Solicitudes'!A28="","",'02_Base_Solicitudes'!A28)</f>
        <v>27</v>
      </c>
      <c r="C30" s="31">
        <f>IF('02_Base_Solicitudes'!A28="","",'02_Base_Solicitudes'!C28)</f>
        <v>46293</v>
      </c>
      <c r="D30" s="23" t="str">
        <f>IF('02_Base_Solicitudes'!A28="","",'02_Base_Solicitudes'!D28)</f>
        <v>Direccion de idiomas</v>
      </c>
      <c r="E30" s="23" t="str">
        <f>IF('02_Base_Solicitudes'!A28="","",'02_Base_Solicitudes'!E28)</f>
        <v>Sara Elena Plata</v>
      </c>
      <c r="F30" s="23" t="str">
        <f>IF('02_Base_Solicitudes'!A28="","",'02_Base_Solicitudes'!G28)</f>
        <v>direccion.idiomas@unimetro.edu.co</v>
      </c>
      <c r="G30" s="23" t="str">
        <f>IF('02_Base_Solicitudes'!A28="","",'02_Base_Solicitudes'!H28)</f>
        <v>Volantes - Unidad Académica de Idiomas</v>
      </c>
      <c r="H30" s="32" t="str">
        <f>IF('02_Base_Solicitudes'!A28="","",'02_Base_Solicitudes'!I28)</f>
        <v>Volantes</v>
      </c>
      <c r="I30" s="30">
        <f>IF('02_Base_Solicitudes'!A28="","",'02_Base_Solicitudes'!J28)</f>
        <v>1000</v>
      </c>
      <c r="J30" s="23" t="s">
        <v>167</v>
      </c>
      <c r="K30" s="33">
        <f>IF('02_Base_Solicitudes'!A28="","",'02_Base_Solicitudes'!K28)</f>
        <v>46311</v>
      </c>
      <c r="L30" s="19" t="str">
        <f t="shared" si="0"/>
        <v>Julio Rivera</v>
      </c>
      <c r="M30" s="19" t="s">
        <v>24</v>
      </c>
      <c r="N30" s="34" t="s">
        <v>174</v>
      </c>
      <c r="O30" s="35">
        <v>46293</v>
      </c>
      <c r="P30" s="34" t="s">
        <v>402</v>
      </c>
      <c r="Q30" s="34" t="s">
        <v>174</v>
      </c>
      <c r="R30" s="34" t="s">
        <v>287</v>
      </c>
      <c r="S30" s="19" t="s">
        <v>207</v>
      </c>
      <c r="T30" s="19" t="s">
        <v>358</v>
      </c>
      <c r="U30" s="19" t="s">
        <v>184</v>
      </c>
      <c r="V30" s="19" t="s">
        <v>170</v>
      </c>
      <c r="W30" s="34" t="s">
        <v>174</v>
      </c>
      <c r="X30" s="34" t="s">
        <v>186</v>
      </c>
      <c r="Y30" s="40">
        <v>46301</v>
      </c>
      <c r="Z30" s="35">
        <v>46302</v>
      </c>
      <c r="AA30" s="34">
        <v>1000</v>
      </c>
      <c r="AB30" s="34">
        <v>0</v>
      </c>
      <c r="AC30" s="34" t="s">
        <v>174</v>
      </c>
      <c r="AD30" s="19" t="s">
        <v>421</v>
      </c>
      <c r="AE30" s="35">
        <v>46302</v>
      </c>
      <c r="AF30" s="34" t="str">
        <f>OTMaestraTable[[#This Row],[Solicitante]]</f>
        <v>Sara Elena Plata</v>
      </c>
      <c r="AG30" s="35">
        <v>46302</v>
      </c>
      <c r="AH30" s="19" t="s">
        <v>220</v>
      </c>
      <c r="AI30" s="30">
        <f t="shared" si="1"/>
        <v>9</v>
      </c>
      <c r="AJ30" s="30" t="str">
        <f t="shared" si="2"/>
        <v>Sí</v>
      </c>
      <c r="AK30" s="30" t="str">
        <f t="shared" si="3"/>
        <v>OK</v>
      </c>
      <c r="AL30" s="19" t="s">
        <v>423</v>
      </c>
    </row>
    <row r="31" spans="1:38" ht="210">
      <c r="A31" s="23" t="str">
        <f>IF('02_Base_Solicitudes'!A29="","",'02_Base_Solicitudes'!R29)</f>
        <v>OT-UM-202610-028</v>
      </c>
      <c r="B31" s="30">
        <f>IF('02_Base_Solicitudes'!A29="","",'02_Base_Solicitudes'!A29)</f>
        <v>28</v>
      </c>
      <c r="C31" s="31">
        <f>IF('02_Base_Solicitudes'!A29="","",'02_Base_Solicitudes'!C29)</f>
        <v>46300</v>
      </c>
      <c r="D31" s="23" t="str">
        <f>IF('02_Base_Solicitudes'!A29="","",'02_Base_Solicitudes'!D29)</f>
        <v>Vicerrectoria - Direccion de bienestar universitario</v>
      </c>
      <c r="E31" s="23" t="str">
        <f>IF('02_Base_Solicitudes'!A29="","",'02_Base_Solicitudes'!E29)</f>
        <v>Katty Aguas Gamarra</v>
      </c>
      <c r="F31" s="23" t="str">
        <f>IF('02_Base_Solicitudes'!A29="","",'02_Base_Solicitudes'!G29)</f>
        <v>desarrollohumano@unimetro.edu.co</v>
      </c>
      <c r="G31" s="23" t="str">
        <f>IF('02_Base_Solicitudes'!A29="","",'02_Base_Solicitudes'!H29)</f>
        <v>Mini Agendas</v>
      </c>
      <c r="H31" s="32" t="str">
        <f>IF('02_Base_Solicitudes'!A29="","",'02_Base_Solicitudes'!I29)</f>
        <v>Mini Agendas o Libretas</v>
      </c>
      <c r="I31" s="30">
        <f>IF('02_Base_Solicitudes'!A29="","",'02_Base_Solicitudes'!J29)</f>
        <v>60</v>
      </c>
      <c r="J31" s="23" t="str">
        <f>IF('02_Base_Solicitudes'!A29="","",'02_Base_Solicitudes'!M29)</f>
        <v>Urgente</v>
      </c>
      <c r="K31" s="33">
        <f>IF('02_Base_Solicitudes'!A29="","",'02_Base_Solicitudes'!K29)</f>
        <v>46314</v>
      </c>
      <c r="L31" s="19" t="str">
        <f t="shared" si="0"/>
        <v>Julio Rivera</v>
      </c>
      <c r="M31" s="19" t="s">
        <v>24</v>
      </c>
      <c r="N31" s="34" t="s">
        <v>174</v>
      </c>
      <c r="O31" s="35">
        <v>46302</v>
      </c>
      <c r="P31" s="34" t="s">
        <v>429</v>
      </c>
      <c r="Q31" s="34" t="s">
        <v>174</v>
      </c>
      <c r="R31" s="34" t="s">
        <v>333</v>
      </c>
      <c r="S31" s="19" t="s">
        <v>207</v>
      </c>
      <c r="T31" s="19" t="s">
        <v>359</v>
      </c>
      <c r="U31" s="19" t="s">
        <v>184</v>
      </c>
      <c r="V31" s="19" t="s">
        <v>170</v>
      </c>
      <c r="W31" s="34" t="s">
        <v>174</v>
      </c>
      <c r="X31" s="34" t="s">
        <v>186</v>
      </c>
      <c r="Y31" s="40">
        <v>46303</v>
      </c>
      <c r="Z31" s="35">
        <v>46308</v>
      </c>
      <c r="AA31" s="34">
        <v>70</v>
      </c>
      <c r="AB31" s="34">
        <v>0</v>
      </c>
      <c r="AC31" s="34" t="s">
        <v>174</v>
      </c>
      <c r="AD31" s="19" t="s">
        <v>430</v>
      </c>
      <c r="AE31" s="19"/>
      <c r="AF31" s="34" t="str">
        <f>OTMaestraTable[[#This Row],[Solicitante]]</f>
        <v>Katty Aguas Gamarra</v>
      </c>
      <c r="AG31" s="19"/>
      <c r="AH31" s="19" t="s">
        <v>203</v>
      </c>
      <c r="AI31" s="30" t="str">
        <f t="shared" si="1"/>
        <v/>
      </c>
      <c r="AJ31" s="30" t="str">
        <f t="shared" si="2"/>
        <v>Pendiente</v>
      </c>
      <c r="AK31" s="30" t="str">
        <f t="shared" si="3"/>
        <v>OK</v>
      </c>
      <c r="AL31" s="19"/>
    </row>
    <row r="32" spans="1:38">
      <c r="A32" s="23" t="str">
        <f>IF('02_Base_Solicitudes'!A30="","",'02_Base_Solicitudes'!R30)</f>
        <v/>
      </c>
      <c r="B32" s="30" t="str">
        <f>IF('02_Base_Solicitudes'!A30="","",'02_Base_Solicitudes'!A30)</f>
        <v/>
      </c>
      <c r="C32" s="23" t="str">
        <f>IF('02_Base_Solicitudes'!A30="","",'02_Base_Solicitudes'!C30)</f>
        <v/>
      </c>
      <c r="D32" s="23" t="str">
        <f>IF('02_Base_Solicitudes'!A30="","",'02_Base_Solicitudes'!D30)</f>
        <v/>
      </c>
      <c r="E32" s="23" t="str">
        <f>IF('02_Base_Solicitudes'!A30="","",'02_Base_Solicitudes'!E30)</f>
        <v/>
      </c>
      <c r="F32" s="23" t="str">
        <f>IF('02_Base_Solicitudes'!A30="","",'02_Base_Solicitudes'!G30)</f>
        <v/>
      </c>
      <c r="G32" s="23" t="str">
        <f>IF('02_Base_Solicitudes'!A30="","",'02_Base_Solicitudes'!H30)</f>
        <v/>
      </c>
      <c r="H32" s="32" t="str">
        <f>IF('02_Base_Solicitudes'!A30="","",'02_Base_Solicitudes'!I30)</f>
        <v/>
      </c>
      <c r="I32" s="30" t="str">
        <f>IF('02_Base_Solicitudes'!A30="","",'02_Base_Solicitudes'!J30)</f>
        <v/>
      </c>
      <c r="J32" s="23" t="str">
        <f>IF('02_Base_Solicitudes'!A30="","",'02_Base_Solicitudes'!M30)</f>
        <v/>
      </c>
      <c r="K32" s="33" t="str">
        <f>IF('02_Base_Solicitudes'!A30="","",'02_Base_Solicitudes'!K30)</f>
        <v/>
      </c>
      <c r="L32" s="19" t="str">
        <f t="shared" si="0"/>
        <v/>
      </c>
      <c r="M32" s="19"/>
      <c r="N32" s="34" t="str">
        <f t="shared" si="4"/>
        <v/>
      </c>
      <c r="O32" s="19"/>
      <c r="P32" s="34"/>
      <c r="Q32" s="19"/>
      <c r="R32" s="34"/>
      <c r="S32" s="19"/>
      <c r="T32" s="19"/>
      <c r="U32" s="19"/>
      <c r="V32" s="19"/>
      <c r="W32" s="34" t="str">
        <f t="shared" si="6"/>
        <v/>
      </c>
      <c r="X32" s="19"/>
      <c r="Y32" s="34"/>
      <c r="Z32" s="19"/>
      <c r="AA32" s="34"/>
      <c r="AB32" s="34"/>
      <c r="AC32" s="34" t="str">
        <f t="shared" si="5"/>
        <v/>
      </c>
      <c r="AD32" s="19"/>
      <c r="AE32" s="19"/>
      <c r="AF32" s="34" t="str">
        <f>OTMaestraTable[[#This Row],[Solicitante]]</f>
        <v/>
      </c>
      <c r="AG32" s="19"/>
      <c r="AH32" s="19" t="str">
        <f t="shared" ref="AH32:AH35" si="7">IF($A32="","","Abierta")</f>
        <v/>
      </c>
      <c r="AI32" s="30" t="str">
        <f t="shared" si="1"/>
        <v/>
      </c>
      <c r="AJ32" s="30" t="str">
        <f t="shared" si="2"/>
        <v/>
      </c>
      <c r="AK32" s="30" t="str">
        <f t="shared" si="3"/>
        <v/>
      </c>
      <c r="AL32" s="19"/>
    </row>
    <row r="33" spans="1:38">
      <c r="A33" s="23" t="str">
        <f>IF('02_Base_Solicitudes'!A31="","",'02_Base_Solicitudes'!R31)</f>
        <v/>
      </c>
      <c r="B33" s="30" t="str">
        <f>IF('02_Base_Solicitudes'!A31="","",'02_Base_Solicitudes'!A31)</f>
        <v/>
      </c>
      <c r="C33" s="23" t="str">
        <f>IF('02_Base_Solicitudes'!A31="","",'02_Base_Solicitudes'!C31)</f>
        <v/>
      </c>
      <c r="D33" s="23" t="str">
        <f>IF('02_Base_Solicitudes'!A31="","",'02_Base_Solicitudes'!D31)</f>
        <v/>
      </c>
      <c r="E33" s="23" t="str">
        <f>IF('02_Base_Solicitudes'!A31="","",'02_Base_Solicitudes'!E31)</f>
        <v/>
      </c>
      <c r="F33" s="23" t="str">
        <f>IF('02_Base_Solicitudes'!A31="","",'02_Base_Solicitudes'!G31)</f>
        <v/>
      </c>
      <c r="G33" s="23" t="str">
        <f>IF('02_Base_Solicitudes'!A31="","",'02_Base_Solicitudes'!H31)</f>
        <v/>
      </c>
      <c r="H33" s="32" t="str">
        <f>IF('02_Base_Solicitudes'!A31="","",'02_Base_Solicitudes'!I31)</f>
        <v/>
      </c>
      <c r="I33" s="30" t="str">
        <f>IF('02_Base_Solicitudes'!A31="","",'02_Base_Solicitudes'!J31)</f>
        <v/>
      </c>
      <c r="J33" s="23" t="str">
        <f>IF('02_Base_Solicitudes'!A31="","",'02_Base_Solicitudes'!M31)</f>
        <v/>
      </c>
      <c r="K33" s="33" t="str">
        <f>IF('02_Base_Solicitudes'!A31="","",'02_Base_Solicitudes'!K31)</f>
        <v/>
      </c>
      <c r="L33" s="19" t="str">
        <f t="shared" si="0"/>
        <v/>
      </c>
      <c r="M33" s="19"/>
      <c r="N33" s="34" t="str">
        <f t="shared" si="4"/>
        <v/>
      </c>
      <c r="O33" s="19"/>
      <c r="P33" s="34"/>
      <c r="Q33" s="19"/>
      <c r="R33" s="34"/>
      <c r="S33" s="19"/>
      <c r="T33" s="19"/>
      <c r="U33" s="19"/>
      <c r="V33" s="19"/>
      <c r="W33" s="34" t="str">
        <f t="shared" si="6"/>
        <v/>
      </c>
      <c r="X33" s="19"/>
      <c r="Y33" s="34"/>
      <c r="Z33" s="19"/>
      <c r="AA33" s="34"/>
      <c r="AB33" s="34"/>
      <c r="AC33" s="34" t="str">
        <f t="shared" si="5"/>
        <v/>
      </c>
      <c r="AD33" s="19"/>
      <c r="AE33" s="19"/>
      <c r="AF33" s="34" t="str">
        <f>OTMaestraTable[[#This Row],[Solicitante]]</f>
        <v/>
      </c>
      <c r="AG33" s="19"/>
      <c r="AH33" s="19" t="str">
        <f t="shared" si="7"/>
        <v/>
      </c>
      <c r="AI33" s="30" t="str">
        <f t="shared" si="1"/>
        <v/>
      </c>
      <c r="AJ33" s="30" t="str">
        <f t="shared" si="2"/>
        <v/>
      </c>
      <c r="AK33" s="30" t="str">
        <f t="shared" si="3"/>
        <v/>
      </c>
      <c r="AL33" s="19"/>
    </row>
    <row r="34" spans="1:38">
      <c r="A34" s="23" t="str">
        <f>IF('02_Base_Solicitudes'!A32="","",'02_Base_Solicitudes'!R32)</f>
        <v/>
      </c>
      <c r="B34" s="30" t="str">
        <f>IF('02_Base_Solicitudes'!A32="","",'02_Base_Solicitudes'!A32)</f>
        <v/>
      </c>
      <c r="C34" s="23" t="str">
        <f>IF('02_Base_Solicitudes'!A32="","",'02_Base_Solicitudes'!C32)</f>
        <v/>
      </c>
      <c r="D34" s="23" t="str">
        <f>IF('02_Base_Solicitudes'!A32="","",'02_Base_Solicitudes'!D32)</f>
        <v/>
      </c>
      <c r="E34" s="23" t="str">
        <f>IF('02_Base_Solicitudes'!A32="","",'02_Base_Solicitudes'!E32)</f>
        <v/>
      </c>
      <c r="F34" s="23" t="str">
        <f>IF('02_Base_Solicitudes'!A32="","",'02_Base_Solicitudes'!G32)</f>
        <v/>
      </c>
      <c r="G34" s="23" t="str">
        <f>IF('02_Base_Solicitudes'!A32="","",'02_Base_Solicitudes'!H32)</f>
        <v/>
      </c>
      <c r="H34" s="32" t="str">
        <f>IF('02_Base_Solicitudes'!A32="","",'02_Base_Solicitudes'!I32)</f>
        <v/>
      </c>
      <c r="I34" s="30" t="str">
        <f>IF('02_Base_Solicitudes'!A32="","",'02_Base_Solicitudes'!J32)</f>
        <v/>
      </c>
      <c r="J34" s="23" t="str">
        <f>IF('02_Base_Solicitudes'!A32="","",'02_Base_Solicitudes'!M32)</f>
        <v/>
      </c>
      <c r="K34" s="33" t="str">
        <f>IF('02_Base_Solicitudes'!A32="","",'02_Base_Solicitudes'!K32)</f>
        <v/>
      </c>
      <c r="L34" s="19" t="str">
        <f t="shared" si="0"/>
        <v/>
      </c>
      <c r="M34" s="19"/>
      <c r="N34" s="34" t="str">
        <f t="shared" si="4"/>
        <v/>
      </c>
      <c r="O34" s="19"/>
      <c r="P34" s="34"/>
      <c r="Q34" s="19"/>
      <c r="R34" s="34"/>
      <c r="S34" s="19"/>
      <c r="T34" s="19"/>
      <c r="U34" s="19"/>
      <c r="V34" s="19"/>
      <c r="W34" s="34" t="str">
        <f t="shared" si="6"/>
        <v/>
      </c>
      <c r="X34" s="19"/>
      <c r="Y34" s="34"/>
      <c r="Z34" s="19"/>
      <c r="AA34" s="34"/>
      <c r="AB34" s="34"/>
      <c r="AC34" s="34" t="str">
        <f t="shared" si="5"/>
        <v/>
      </c>
      <c r="AD34" s="19"/>
      <c r="AE34" s="19"/>
      <c r="AF34" s="34" t="str">
        <f>OTMaestraTable[[#This Row],[Solicitante]]</f>
        <v/>
      </c>
      <c r="AG34" s="19"/>
      <c r="AH34" s="19" t="str">
        <f t="shared" si="7"/>
        <v/>
      </c>
      <c r="AI34" s="30" t="str">
        <f t="shared" si="1"/>
        <v/>
      </c>
      <c r="AJ34" s="30" t="str">
        <f t="shared" si="2"/>
        <v/>
      </c>
      <c r="AK34" s="30" t="str">
        <f t="shared" si="3"/>
        <v/>
      </c>
      <c r="AL34" s="19"/>
    </row>
    <row r="35" spans="1:38">
      <c r="A35" s="23" t="str">
        <f>IF('02_Base_Solicitudes'!A33="","",'02_Base_Solicitudes'!R33)</f>
        <v/>
      </c>
      <c r="B35" s="30" t="str">
        <f>IF('02_Base_Solicitudes'!A33="","",'02_Base_Solicitudes'!A33)</f>
        <v/>
      </c>
      <c r="C35" s="23" t="str">
        <f>IF('02_Base_Solicitudes'!A33="","",'02_Base_Solicitudes'!C33)</f>
        <v/>
      </c>
      <c r="D35" s="23" t="str">
        <f>IF('02_Base_Solicitudes'!A33="","",'02_Base_Solicitudes'!D33)</f>
        <v/>
      </c>
      <c r="E35" s="23" t="str">
        <f>IF('02_Base_Solicitudes'!A33="","",'02_Base_Solicitudes'!E33)</f>
        <v/>
      </c>
      <c r="F35" s="23" t="str">
        <f>IF('02_Base_Solicitudes'!A33="","",'02_Base_Solicitudes'!G33)</f>
        <v/>
      </c>
      <c r="G35" s="23" t="str">
        <f>IF('02_Base_Solicitudes'!A33="","",'02_Base_Solicitudes'!H33)</f>
        <v/>
      </c>
      <c r="H35" s="32" t="str">
        <f>IF('02_Base_Solicitudes'!A33="","",'02_Base_Solicitudes'!I33)</f>
        <v/>
      </c>
      <c r="I35" s="30" t="str">
        <f>IF('02_Base_Solicitudes'!A33="","",'02_Base_Solicitudes'!J33)</f>
        <v/>
      </c>
      <c r="J35" s="23" t="str">
        <f>IF('02_Base_Solicitudes'!A33="","",'02_Base_Solicitudes'!M33)</f>
        <v/>
      </c>
      <c r="K35" s="33" t="str">
        <f>IF('02_Base_Solicitudes'!A33="","",'02_Base_Solicitudes'!K33)</f>
        <v/>
      </c>
      <c r="L35" s="19" t="str">
        <f t="shared" si="0"/>
        <v/>
      </c>
      <c r="M35" s="19"/>
      <c r="N35" s="34" t="str">
        <f t="shared" si="4"/>
        <v/>
      </c>
      <c r="O35" s="19"/>
      <c r="P35" s="34"/>
      <c r="Q35" s="19"/>
      <c r="R35" s="34"/>
      <c r="S35" s="19"/>
      <c r="T35" s="19"/>
      <c r="U35" s="19"/>
      <c r="V35" s="19"/>
      <c r="W35" s="34" t="str">
        <f t="shared" si="6"/>
        <v/>
      </c>
      <c r="X35" s="19"/>
      <c r="Y35" s="34"/>
      <c r="Z35" s="19"/>
      <c r="AA35" s="34"/>
      <c r="AB35" s="34"/>
      <c r="AC35" s="34" t="str">
        <f t="shared" si="5"/>
        <v/>
      </c>
      <c r="AD35" s="19"/>
      <c r="AE35" s="19"/>
      <c r="AF35" s="34" t="str">
        <f>OTMaestraTable[[#This Row],[Solicitante]]</f>
        <v/>
      </c>
      <c r="AG35" s="19"/>
      <c r="AH35" s="19" t="str">
        <f t="shared" si="7"/>
        <v/>
      </c>
      <c r="AI35" s="30" t="str">
        <f t="shared" si="1"/>
        <v/>
      </c>
      <c r="AJ35" s="30" t="str">
        <f t="shared" si="2"/>
        <v/>
      </c>
      <c r="AK35" s="30" t="str">
        <f t="shared" si="3"/>
        <v/>
      </c>
      <c r="AL35" s="19"/>
    </row>
    <row r="36" spans="1:38">
      <c r="A36" s="23" t="str">
        <f>IF('02_Base_Solicitudes'!A34="","",'02_Base_Solicitudes'!R34)</f>
        <v/>
      </c>
      <c r="B36" s="30" t="str">
        <f>IF('02_Base_Solicitudes'!A34="","",'02_Base_Solicitudes'!A34)</f>
        <v/>
      </c>
      <c r="C36" s="23" t="str">
        <f>IF('02_Base_Solicitudes'!A34="","",'02_Base_Solicitudes'!C34)</f>
        <v/>
      </c>
      <c r="D36" s="23" t="str">
        <f>IF('02_Base_Solicitudes'!A34="","",'02_Base_Solicitudes'!D34)</f>
        <v/>
      </c>
      <c r="E36" s="23" t="str">
        <f>IF('02_Base_Solicitudes'!A34="","",'02_Base_Solicitudes'!E34)</f>
        <v/>
      </c>
      <c r="F36" s="23" t="str">
        <f>IF('02_Base_Solicitudes'!A34="","",'02_Base_Solicitudes'!G34)</f>
        <v/>
      </c>
      <c r="G36" s="23" t="str">
        <f>IF('02_Base_Solicitudes'!A34="","",'02_Base_Solicitudes'!H34)</f>
        <v/>
      </c>
      <c r="H36" s="32" t="str">
        <f>IF('02_Base_Solicitudes'!A34="","",'02_Base_Solicitudes'!I34)</f>
        <v/>
      </c>
      <c r="I36" s="30" t="str">
        <f>IF('02_Base_Solicitudes'!A34="","",'02_Base_Solicitudes'!J34)</f>
        <v/>
      </c>
      <c r="J36" s="23" t="str">
        <f>IF('02_Base_Solicitudes'!A34="","",'02_Base_Solicitudes'!M34)</f>
        <v/>
      </c>
      <c r="K36" s="33" t="str">
        <f>IF('02_Base_Solicitudes'!A34="","",'02_Base_Solicitudes'!K34)</f>
        <v/>
      </c>
      <c r="L36" s="19" t="str">
        <f t="shared" ref="L36:L67" si="8">IF($A36="","","Julio Rivera")</f>
        <v/>
      </c>
      <c r="M36" s="19"/>
      <c r="N36" s="34" t="str">
        <f t="shared" ref="N36:N67" si="9">IF($A36="","","No")</f>
        <v/>
      </c>
      <c r="O36" s="19"/>
      <c r="P36" s="34"/>
      <c r="Q36" s="19"/>
      <c r="R36" s="34"/>
      <c r="S36" s="19"/>
      <c r="T36" s="19"/>
      <c r="U36" s="19"/>
      <c r="V36" s="19"/>
      <c r="W36" s="34" t="str">
        <f t="shared" si="6"/>
        <v/>
      </c>
      <c r="X36" s="19"/>
      <c r="Y36" s="34"/>
      <c r="Z36" s="19"/>
      <c r="AA36" s="34"/>
      <c r="AB36" s="34"/>
      <c r="AC36" s="34" t="str">
        <f t="shared" ref="AC36:AC67" si="10">IF($A36="","","Pendiente")</f>
        <v/>
      </c>
      <c r="AD36" s="19"/>
      <c r="AE36" s="19"/>
      <c r="AF36" s="34" t="str">
        <f>OTMaestraTable[[#This Row],[Solicitante]]</f>
        <v/>
      </c>
      <c r="AG36" s="19"/>
      <c r="AH36" s="19" t="str">
        <f t="shared" ref="AH36:AH67" si="11">IF($A36="","","Abierta")</f>
        <v/>
      </c>
      <c r="AI36" s="30" t="str">
        <f t="shared" ref="AI36:AI67" si="12">IF(AND(C36&lt;&gt;"",AG36&lt;&gt;""),AG36-C36,"")</f>
        <v/>
      </c>
      <c r="AJ36" s="30" t="str">
        <f t="shared" ref="AJ36:AJ67" si="13">IF(A36="","",IF(AND(AG36&lt;&gt;"",K36&lt;&gt;""),IF(AG36&lt;=K36,"Sí","No"),"Pendiente"))</f>
        <v/>
      </c>
      <c r="AK36" s="30" t="str">
        <f t="shared" ref="AK36:AK67" si="14">IF(A36="","",IF(AND($AH36="Cerrada",OR($AE36="",$AF36="",$AG36="")),"⚠ Cerrada incompleta",IF(AND($AH36&lt;&gt;"Cerrada",$AG36&lt;&gt;""),"⚠ Fecha cierre con estado abierto","OK")))</f>
        <v/>
      </c>
      <c r="AL36" s="19"/>
    </row>
    <row r="37" spans="1:38">
      <c r="A37" s="23" t="str">
        <f>IF('02_Base_Solicitudes'!A35="","",'02_Base_Solicitudes'!R35)</f>
        <v/>
      </c>
      <c r="B37" s="30" t="str">
        <f>IF('02_Base_Solicitudes'!A35="","",'02_Base_Solicitudes'!A35)</f>
        <v/>
      </c>
      <c r="C37" s="23" t="str">
        <f>IF('02_Base_Solicitudes'!A35="","",'02_Base_Solicitudes'!C35)</f>
        <v/>
      </c>
      <c r="D37" s="23" t="str">
        <f>IF('02_Base_Solicitudes'!A35="","",'02_Base_Solicitudes'!D35)</f>
        <v/>
      </c>
      <c r="E37" s="23" t="str">
        <f>IF('02_Base_Solicitudes'!A35="","",'02_Base_Solicitudes'!E35)</f>
        <v/>
      </c>
      <c r="F37" s="23" t="str">
        <f>IF('02_Base_Solicitudes'!A35="","",'02_Base_Solicitudes'!G35)</f>
        <v/>
      </c>
      <c r="G37" s="23" t="str">
        <f>IF('02_Base_Solicitudes'!A35="","",'02_Base_Solicitudes'!H35)</f>
        <v/>
      </c>
      <c r="H37" s="32" t="str">
        <f>IF('02_Base_Solicitudes'!A35="","",'02_Base_Solicitudes'!I35)</f>
        <v/>
      </c>
      <c r="I37" s="30" t="str">
        <f>IF('02_Base_Solicitudes'!A35="","",'02_Base_Solicitudes'!J35)</f>
        <v/>
      </c>
      <c r="J37" s="23" t="str">
        <f>IF('02_Base_Solicitudes'!A35="","",'02_Base_Solicitudes'!M35)</f>
        <v/>
      </c>
      <c r="K37" s="33" t="str">
        <f>IF('02_Base_Solicitudes'!A35="","",'02_Base_Solicitudes'!K35)</f>
        <v/>
      </c>
      <c r="L37" s="19" t="str">
        <f t="shared" si="8"/>
        <v/>
      </c>
      <c r="M37" s="19"/>
      <c r="N37" s="34" t="str">
        <f t="shared" si="9"/>
        <v/>
      </c>
      <c r="O37" s="19"/>
      <c r="P37" s="34"/>
      <c r="Q37" s="19"/>
      <c r="R37" s="34"/>
      <c r="S37" s="19"/>
      <c r="T37" s="19"/>
      <c r="U37" s="19"/>
      <c r="V37" s="19"/>
      <c r="W37" s="34" t="str">
        <f t="shared" si="6"/>
        <v/>
      </c>
      <c r="X37" s="19"/>
      <c r="Y37" s="34"/>
      <c r="Z37" s="19"/>
      <c r="AA37" s="34"/>
      <c r="AB37" s="34"/>
      <c r="AC37" s="34" t="str">
        <f t="shared" si="10"/>
        <v/>
      </c>
      <c r="AD37" s="19"/>
      <c r="AE37" s="19"/>
      <c r="AF37" s="34" t="str">
        <f>OTMaestraTable[[#This Row],[Solicitante]]</f>
        <v/>
      </c>
      <c r="AG37" s="19"/>
      <c r="AH37" s="19" t="str">
        <f t="shared" si="11"/>
        <v/>
      </c>
      <c r="AI37" s="30" t="str">
        <f t="shared" si="12"/>
        <v/>
      </c>
      <c r="AJ37" s="30" t="str">
        <f t="shared" si="13"/>
        <v/>
      </c>
      <c r="AK37" s="30" t="str">
        <f t="shared" si="14"/>
        <v/>
      </c>
      <c r="AL37" s="19"/>
    </row>
    <row r="38" spans="1:38">
      <c r="A38" s="23" t="str">
        <f>IF('02_Base_Solicitudes'!A36="","",'02_Base_Solicitudes'!R36)</f>
        <v/>
      </c>
      <c r="B38" s="30" t="str">
        <f>IF('02_Base_Solicitudes'!A36="","",'02_Base_Solicitudes'!A36)</f>
        <v/>
      </c>
      <c r="C38" s="23" t="str">
        <f>IF('02_Base_Solicitudes'!A36="","",'02_Base_Solicitudes'!C36)</f>
        <v/>
      </c>
      <c r="D38" s="23" t="str">
        <f>IF('02_Base_Solicitudes'!A36="","",'02_Base_Solicitudes'!D36)</f>
        <v/>
      </c>
      <c r="E38" s="23" t="str">
        <f>IF('02_Base_Solicitudes'!A36="","",'02_Base_Solicitudes'!E36)</f>
        <v/>
      </c>
      <c r="F38" s="23" t="str">
        <f>IF('02_Base_Solicitudes'!A36="","",'02_Base_Solicitudes'!G36)</f>
        <v/>
      </c>
      <c r="G38" s="23" t="str">
        <f>IF('02_Base_Solicitudes'!A36="","",'02_Base_Solicitudes'!H36)</f>
        <v/>
      </c>
      <c r="H38" s="32" t="str">
        <f>IF('02_Base_Solicitudes'!A36="","",'02_Base_Solicitudes'!I36)</f>
        <v/>
      </c>
      <c r="I38" s="30" t="str">
        <f>IF('02_Base_Solicitudes'!A36="","",'02_Base_Solicitudes'!J36)</f>
        <v/>
      </c>
      <c r="J38" s="23" t="str">
        <f>IF('02_Base_Solicitudes'!A36="","",'02_Base_Solicitudes'!M36)</f>
        <v/>
      </c>
      <c r="K38" s="33" t="str">
        <f>IF('02_Base_Solicitudes'!A36="","",'02_Base_Solicitudes'!K36)</f>
        <v/>
      </c>
      <c r="L38" s="19" t="str">
        <f t="shared" si="8"/>
        <v/>
      </c>
      <c r="M38" s="19"/>
      <c r="N38" s="34" t="str">
        <f t="shared" si="9"/>
        <v/>
      </c>
      <c r="O38" s="19"/>
      <c r="P38" s="34"/>
      <c r="Q38" s="19"/>
      <c r="R38" s="34"/>
      <c r="S38" s="19"/>
      <c r="T38" s="19"/>
      <c r="U38" s="19"/>
      <c r="V38" s="19"/>
      <c r="W38" s="34" t="str">
        <f t="shared" si="6"/>
        <v/>
      </c>
      <c r="X38" s="19"/>
      <c r="Y38" s="34"/>
      <c r="Z38" s="19"/>
      <c r="AA38" s="34"/>
      <c r="AB38" s="34"/>
      <c r="AC38" s="34" t="str">
        <f t="shared" si="10"/>
        <v/>
      </c>
      <c r="AD38" s="19"/>
      <c r="AE38" s="19"/>
      <c r="AF38" s="34" t="str">
        <f>OTMaestraTable[[#This Row],[Solicitante]]</f>
        <v/>
      </c>
      <c r="AG38" s="19"/>
      <c r="AH38" s="19" t="str">
        <f t="shared" si="11"/>
        <v/>
      </c>
      <c r="AI38" s="30" t="str">
        <f t="shared" si="12"/>
        <v/>
      </c>
      <c r="AJ38" s="30" t="str">
        <f t="shared" si="13"/>
        <v/>
      </c>
      <c r="AK38" s="30" t="str">
        <f t="shared" si="14"/>
        <v/>
      </c>
      <c r="AL38" s="19"/>
    </row>
    <row r="39" spans="1:38">
      <c r="A39" s="23" t="str">
        <f>IF('02_Base_Solicitudes'!A37="","",'02_Base_Solicitudes'!R37)</f>
        <v/>
      </c>
      <c r="B39" s="30" t="str">
        <f>IF('02_Base_Solicitudes'!A37="","",'02_Base_Solicitudes'!A37)</f>
        <v/>
      </c>
      <c r="C39" s="23" t="str">
        <f>IF('02_Base_Solicitudes'!A37="","",'02_Base_Solicitudes'!C37)</f>
        <v/>
      </c>
      <c r="D39" s="23" t="str">
        <f>IF('02_Base_Solicitudes'!A37="","",'02_Base_Solicitudes'!D37)</f>
        <v/>
      </c>
      <c r="E39" s="23" t="str">
        <f>IF('02_Base_Solicitudes'!A37="","",'02_Base_Solicitudes'!E37)</f>
        <v/>
      </c>
      <c r="F39" s="23" t="str">
        <f>IF('02_Base_Solicitudes'!A37="","",'02_Base_Solicitudes'!G37)</f>
        <v/>
      </c>
      <c r="G39" s="23" t="str">
        <f>IF('02_Base_Solicitudes'!A37="","",'02_Base_Solicitudes'!H37)</f>
        <v/>
      </c>
      <c r="H39" s="32" t="str">
        <f>IF('02_Base_Solicitudes'!A37="","",'02_Base_Solicitudes'!I37)</f>
        <v/>
      </c>
      <c r="I39" s="30" t="str">
        <f>IF('02_Base_Solicitudes'!A37="","",'02_Base_Solicitudes'!J37)</f>
        <v/>
      </c>
      <c r="J39" s="23" t="str">
        <f>IF('02_Base_Solicitudes'!A37="","",'02_Base_Solicitudes'!M37)</f>
        <v/>
      </c>
      <c r="K39" s="33" t="str">
        <f>IF('02_Base_Solicitudes'!A37="","",'02_Base_Solicitudes'!K37)</f>
        <v/>
      </c>
      <c r="L39" s="19" t="str">
        <f t="shared" si="8"/>
        <v/>
      </c>
      <c r="M39" s="19"/>
      <c r="N39" s="34" t="str">
        <f t="shared" si="9"/>
        <v/>
      </c>
      <c r="O39" s="19"/>
      <c r="P39" s="34"/>
      <c r="Q39" s="19"/>
      <c r="R39" s="34"/>
      <c r="S39" s="19"/>
      <c r="T39" s="19"/>
      <c r="U39" s="19"/>
      <c r="V39" s="19"/>
      <c r="W39" s="34" t="str">
        <f t="shared" si="6"/>
        <v/>
      </c>
      <c r="X39" s="19"/>
      <c r="Y39" s="34"/>
      <c r="Z39" s="19"/>
      <c r="AA39" s="34"/>
      <c r="AB39" s="34"/>
      <c r="AC39" s="34" t="str">
        <f t="shared" si="10"/>
        <v/>
      </c>
      <c r="AD39" s="19"/>
      <c r="AE39" s="19"/>
      <c r="AF39" s="34" t="str">
        <f>OTMaestraTable[[#This Row],[Solicitante]]</f>
        <v/>
      </c>
      <c r="AG39" s="19"/>
      <c r="AH39" s="19" t="str">
        <f t="shared" si="11"/>
        <v/>
      </c>
      <c r="AI39" s="30" t="str">
        <f t="shared" si="12"/>
        <v/>
      </c>
      <c r="AJ39" s="30" t="str">
        <f t="shared" si="13"/>
        <v/>
      </c>
      <c r="AK39" s="30" t="str">
        <f t="shared" si="14"/>
        <v/>
      </c>
      <c r="AL39" s="19"/>
    </row>
    <row r="40" spans="1:38">
      <c r="A40" s="23" t="str">
        <f>IF('02_Base_Solicitudes'!A38="","",'02_Base_Solicitudes'!R38)</f>
        <v/>
      </c>
      <c r="B40" s="30" t="str">
        <f>IF('02_Base_Solicitudes'!A38="","",'02_Base_Solicitudes'!A38)</f>
        <v/>
      </c>
      <c r="C40" s="23" t="str">
        <f>IF('02_Base_Solicitudes'!A38="","",'02_Base_Solicitudes'!C38)</f>
        <v/>
      </c>
      <c r="D40" s="23" t="str">
        <f>IF('02_Base_Solicitudes'!A38="","",'02_Base_Solicitudes'!D38)</f>
        <v/>
      </c>
      <c r="E40" s="23" t="str">
        <f>IF('02_Base_Solicitudes'!A38="","",'02_Base_Solicitudes'!E38)</f>
        <v/>
      </c>
      <c r="F40" s="23" t="str">
        <f>IF('02_Base_Solicitudes'!A38="","",'02_Base_Solicitudes'!G38)</f>
        <v/>
      </c>
      <c r="G40" s="23" t="str">
        <f>IF('02_Base_Solicitudes'!A38="","",'02_Base_Solicitudes'!H38)</f>
        <v/>
      </c>
      <c r="H40" s="32" t="str">
        <f>IF('02_Base_Solicitudes'!A38="","",'02_Base_Solicitudes'!I38)</f>
        <v/>
      </c>
      <c r="I40" s="30" t="str">
        <f>IF('02_Base_Solicitudes'!A38="","",'02_Base_Solicitudes'!J38)</f>
        <v/>
      </c>
      <c r="J40" s="23" t="str">
        <f>IF('02_Base_Solicitudes'!A38="","",'02_Base_Solicitudes'!M38)</f>
        <v/>
      </c>
      <c r="K40" s="33" t="str">
        <f>IF('02_Base_Solicitudes'!A38="","",'02_Base_Solicitudes'!K38)</f>
        <v/>
      </c>
      <c r="L40" s="19" t="str">
        <f t="shared" si="8"/>
        <v/>
      </c>
      <c r="M40" s="19"/>
      <c r="N40" s="34" t="str">
        <f t="shared" si="9"/>
        <v/>
      </c>
      <c r="O40" s="19"/>
      <c r="P40" s="34"/>
      <c r="Q40" s="19"/>
      <c r="R40" s="34"/>
      <c r="S40" s="19"/>
      <c r="T40" s="19"/>
      <c r="U40" s="19"/>
      <c r="V40" s="19"/>
      <c r="W40" s="34" t="str">
        <f t="shared" si="6"/>
        <v/>
      </c>
      <c r="X40" s="19"/>
      <c r="Y40" s="34"/>
      <c r="Z40" s="19"/>
      <c r="AA40" s="34"/>
      <c r="AB40" s="34"/>
      <c r="AC40" s="34" t="str">
        <f t="shared" si="10"/>
        <v/>
      </c>
      <c r="AD40" s="19"/>
      <c r="AE40" s="19"/>
      <c r="AF40" s="34" t="str">
        <f>OTMaestraTable[[#This Row],[Solicitante]]</f>
        <v/>
      </c>
      <c r="AG40" s="19"/>
      <c r="AH40" s="19" t="str">
        <f t="shared" si="11"/>
        <v/>
      </c>
      <c r="AI40" s="30" t="str">
        <f t="shared" si="12"/>
        <v/>
      </c>
      <c r="AJ40" s="30" t="str">
        <f t="shared" si="13"/>
        <v/>
      </c>
      <c r="AK40" s="30" t="str">
        <f t="shared" si="14"/>
        <v/>
      </c>
      <c r="AL40" s="19"/>
    </row>
    <row r="41" spans="1:38">
      <c r="A41" s="23" t="str">
        <f>IF('02_Base_Solicitudes'!A39="","",'02_Base_Solicitudes'!R39)</f>
        <v/>
      </c>
      <c r="B41" s="30" t="str">
        <f>IF('02_Base_Solicitudes'!A39="","",'02_Base_Solicitudes'!A39)</f>
        <v/>
      </c>
      <c r="C41" s="23" t="str">
        <f>IF('02_Base_Solicitudes'!A39="","",'02_Base_Solicitudes'!C39)</f>
        <v/>
      </c>
      <c r="D41" s="23" t="str">
        <f>IF('02_Base_Solicitudes'!A39="","",'02_Base_Solicitudes'!D39)</f>
        <v/>
      </c>
      <c r="E41" s="23" t="str">
        <f>IF('02_Base_Solicitudes'!A39="","",'02_Base_Solicitudes'!E39)</f>
        <v/>
      </c>
      <c r="F41" s="23" t="str">
        <f>IF('02_Base_Solicitudes'!A39="","",'02_Base_Solicitudes'!G39)</f>
        <v/>
      </c>
      <c r="G41" s="23" t="str">
        <f>IF('02_Base_Solicitudes'!A39="","",'02_Base_Solicitudes'!H39)</f>
        <v/>
      </c>
      <c r="H41" s="32" t="str">
        <f>IF('02_Base_Solicitudes'!A39="","",'02_Base_Solicitudes'!I39)</f>
        <v/>
      </c>
      <c r="I41" s="30" t="str">
        <f>IF('02_Base_Solicitudes'!A39="","",'02_Base_Solicitudes'!J39)</f>
        <v/>
      </c>
      <c r="J41" s="23" t="str">
        <f>IF('02_Base_Solicitudes'!A39="","",'02_Base_Solicitudes'!M39)</f>
        <v/>
      </c>
      <c r="K41" s="33" t="str">
        <f>IF('02_Base_Solicitudes'!A39="","",'02_Base_Solicitudes'!K39)</f>
        <v/>
      </c>
      <c r="L41" s="19" t="str">
        <f t="shared" si="8"/>
        <v/>
      </c>
      <c r="M41" s="19"/>
      <c r="N41" s="34" t="str">
        <f t="shared" si="9"/>
        <v/>
      </c>
      <c r="O41" s="19"/>
      <c r="P41" s="34"/>
      <c r="Q41" s="19"/>
      <c r="R41" s="34"/>
      <c r="S41" s="19"/>
      <c r="T41" s="19"/>
      <c r="U41" s="19"/>
      <c r="V41" s="19"/>
      <c r="W41" s="34" t="str">
        <f t="shared" si="6"/>
        <v/>
      </c>
      <c r="X41" s="19"/>
      <c r="Y41" s="34"/>
      <c r="Z41" s="19"/>
      <c r="AA41" s="34"/>
      <c r="AB41" s="34"/>
      <c r="AC41" s="34" t="str">
        <f t="shared" si="10"/>
        <v/>
      </c>
      <c r="AD41" s="19"/>
      <c r="AE41" s="19"/>
      <c r="AF41" s="34" t="str">
        <f>OTMaestraTable[[#This Row],[Solicitante]]</f>
        <v/>
      </c>
      <c r="AG41" s="19"/>
      <c r="AH41" s="19" t="str">
        <f t="shared" si="11"/>
        <v/>
      </c>
      <c r="AI41" s="30" t="str">
        <f t="shared" si="12"/>
        <v/>
      </c>
      <c r="AJ41" s="30" t="str">
        <f t="shared" si="13"/>
        <v/>
      </c>
      <c r="AK41" s="30" t="str">
        <f t="shared" si="14"/>
        <v/>
      </c>
      <c r="AL41" s="19"/>
    </row>
    <row r="42" spans="1:38">
      <c r="A42" s="23" t="str">
        <f>IF('02_Base_Solicitudes'!A40="","",'02_Base_Solicitudes'!R40)</f>
        <v/>
      </c>
      <c r="B42" s="30" t="str">
        <f>IF('02_Base_Solicitudes'!A40="","",'02_Base_Solicitudes'!A40)</f>
        <v/>
      </c>
      <c r="C42" s="23" t="str">
        <f>IF('02_Base_Solicitudes'!A40="","",'02_Base_Solicitudes'!C40)</f>
        <v/>
      </c>
      <c r="D42" s="23" t="str">
        <f>IF('02_Base_Solicitudes'!A40="","",'02_Base_Solicitudes'!D40)</f>
        <v/>
      </c>
      <c r="E42" s="23" t="str">
        <f>IF('02_Base_Solicitudes'!A40="","",'02_Base_Solicitudes'!E40)</f>
        <v/>
      </c>
      <c r="F42" s="23" t="str">
        <f>IF('02_Base_Solicitudes'!A40="","",'02_Base_Solicitudes'!G40)</f>
        <v/>
      </c>
      <c r="G42" s="23" t="str">
        <f>IF('02_Base_Solicitudes'!A40="","",'02_Base_Solicitudes'!H40)</f>
        <v/>
      </c>
      <c r="H42" s="32" t="str">
        <f>IF('02_Base_Solicitudes'!A40="","",'02_Base_Solicitudes'!I40)</f>
        <v/>
      </c>
      <c r="I42" s="30" t="str">
        <f>IF('02_Base_Solicitudes'!A40="","",'02_Base_Solicitudes'!J40)</f>
        <v/>
      </c>
      <c r="J42" s="23" t="str">
        <f>IF('02_Base_Solicitudes'!A40="","",'02_Base_Solicitudes'!M40)</f>
        <v/>
      </c>
      <c r="K42" s="33" t="str">
        <f>IF('02_Base_Solicitudes'!A40="","",'02_Base_Solicitudes'!K40)</f>
        <v/>
      </c>
      <c r="L42" s="19" t="str">
        <f t="shared" si="8"/>
        <v/>
      </c>
      <c r="M42" s="19"/>
      <c r="N42" s="34" t="str">
        <f t="shared" si="9"/>
        <v/>
      </c>
      <c r="O42" s="19"/>
      <c r="P42" s="34"/>
      <c r="Q42" s="19"/>
      <c r="R42" s="34"/>
      <c r="S42" s="19"/>
      <c r="T42" s="19"/>
      <c r="U42" s="19"/>
      <c r="V42" s="19"/>
      <c r="W42" s="34" t="str">
        <f t="shared" si="6"/>
        <v/>
      </c>
      <c r="X42" s="19"/>
      <c r="Y42" s="34"/>
      <c r="Z42" s="19"/>
      <c r="AA42" s="34"/>
      <c r="AB42" s="34"/>
      <c r="AC42" s="34" t="str">
        <f t="shared" si="10"/>
        <v/>
      </c>
      <c r="AD42" s="19"/>
      <c r="AE42" s="19"/>
      <c r="AF42" s="34" t="str">
        <f>OTMaestraTable[[#This Row],[Solicitante]]</f>
        <v/>
      </c>
      <c r="AG42" s="19"/>
      <c r="AH42" s="19" t="str">
        <f t="shared" si="11"/>
        <v/>
      </c>
      <c r="AI42" s="30" t="str">
        <f t="shared" si="12"/>
        <v/>
      </c>
      <c r="AJ42" s="30" t="str">
        <f t="shared" si="13"/>
        <v/>
      </c>
      <c r="AK42" s="30" t="str">
        <f t="shared" si="14"/>
        <v/>
      </c>
      <c r="AL42" s="19"/>
    </row>
    <row r="43" spans="1:38">
      <c r="A43" s="23" t="str">
        <f>IF('02_Base_Solicitudes'!A41="","",'02_Base_Solicitudes'!R41)</f>
        <v/>
      </c>
      <c r="B43" s="30" t="str">
        <f>IF('02_Base_Solicitudes'!A41="","",'02_Base_Solicitudes'!A41)</f>
        <v/>
      </c>
      <c r="C43" s="23" t="str">
        <f>IF('02_Base_Solicitudes'!A41="","",'02_Base_Solicitudes'!C41)</f>
        <v/>
      </c>
      <c r="D43" s="23" t="str">
        <f>IF('02_Base_Solicitudes'!A41="","",'02_Base_Solicitudes'!D41)</f>
        <v/>
      </c>
      <c r="E43" s="23" t="str">
        <f>IF('02_Base_Solicitudes'!A41="","",'02_Base_Solicitudes'!E41)</f>
        <v/>
      </c>
      <c r="F43" s="23" t="str">
        <f>IF('02_Base_Solicitudes'!A41="","",'02_Base_Solicitudes'!G41)</f>
        <v/>
      </c>
      <c r="G43" s="23" t="str">
        <f>IF('02_Base_Solicitudes'!A41="","",'02_Base_Solicitudes'!H41)</f>
        <v/>
      </c>
      <c r="H43" s="32" t="str">
        <f>IF('02_Base_Solicitudes'!A41="","",'02_Base_Solicitudes'!I41)</f>
        <v/>
      </c>
      <c r="I43" s="30" t="str">
        <f>IF('02_Base_Solicitudes'!A41="","",'02_Base_Solicitudes'!J41)</f>
        <v/>
      </c>
      <c r="J43" s="23" t="str">
        <f>IF('02_Base_Solicitudes'!A41="","",'02_Base_Solicitudes'!M41)</f>
        <v/>
      </c>
      <c r="K43" s="33" t="str">
        <f>IF('02_Base_Solicitudes'!A41="","",'02_Base_Solicitudes'!K41)</f>
        <v/>
      </c>
      <c r="L43" s="19" t="str">
        <f t="shared" si="8"/>
        <v/>
      </c>
      <c r="M43" s="19"/>
      <c r="N43" s="34" t="str">
        <f t="shared" si="9"/>
        <v/>
      </c>
      <c r="O43" s="19"/>
      <c r="P43" s="34"/>
      <c r="Q43" s="19"/>
      <c r="R43" s="34"/>
      <c r="S43" s="19"/>
      <c r="T43" s="19"/>
      <c r="U43" s="19"/>
      <c r="V43" s="19"/>
      <c r="W43" s="34" t="str">
        <f t="shared" si="6"/>
        <v/>
      </c>
      <c r="X43" s="19"/>
      <c r="Y43" s="34"/>
      <c r="Z43" s="19"/>
      <c r="AA43" s="34"/>
      <c r="AB43" s="34"/>
      <c r="AC43" s="34" t="str">
        <f t="shared" si="10"/>
        <v/>
      </c>
      <c r="AD43" s="19"/>
      <c r="AE43" s="19"/>
      <c r="AF43" s="34" t="str">
        <f>OTMaestraTable[[#This Row],[Solicitante]]</f>
        <v/>
      </c>
      <c r="AG43" s="19"/>
      <c r="AH43" s="19" t="str">
        <f t="shared" si="11"/>
        <v/>
      </c>
      <c r="AI43" s="30" t="str">
        <f t="shared" si="12"/>
        <v/>
      </c>
      <c r="AJ43" s="30" t="str">
        <f t="shared" si="13"/>
        <v/>
      </c>
      <c r="AK43" s="30" t="str">
        <f t="shared" si="14"/>
        <v/>
      </c>
      <c r="AL43" s="19"/>
    </row>
    <row r="44" spans="1:38">
      <c r="A44" s="23" t="str">
        <f>IF('02_Base_Solicitudes'!A42="","",'02_Base_Solicitudes'!R42)</f>
        <v/>
      </c>
      <c r="B44" s="30" t="str">
        <f>IF('02_Base_Solicitudes'!A42="","",'02_Base_Solicitudes'!A42)</f>
        <v/>
      </c>
      <c r="C44" s="23" t="str">
        <f>IF('02_Base_Solicitudes'!A42="","",'02_Base_Solicitudes'!C42)</f>
        <v/>
      </c>
      <c r="D44" s="23" t="str">
        <f>IF('02_Base_Solicitudes'!A42="","",'02_Base_Solicitudes'!D42)</f>
        <v/>
      </c>
      <c r="E44" s="23" t="str">
        <f>IF('02_Base_Solicitudes'!A42="","",'02_Base_Solicitudes'!E42)</f>
        <v/>
      </c>
      <c r="F44" s="23" t="str">
        <f>IF('02_Base_Solicitudes'!A42="","",'02_Base_Solicitudes'!G42)</f>
        <v/>
      </c>
      <c r="G44" s="23" t="str">
        <f>IF('02_Base_Solicitudes'!A42="","",'02_Base_Solicitudes'!H42)</f>
        <v/>
      </c>
      <c r="H44" s="32" t="str">
        <f>IF('02_Base_Solicitudes'!A42="","",'02_Base_Solicitudes'!I42)</f>
        <v/>
      </c>
      <c r="I44" s="30" t="str">
        <f>IF('02_Base_Solicitudes'!A42="","",'02_Base_Solicitudes'!J42)</f>
        <v/>
      </c>
      <c r="J44" s="23" t="str">
        <f>IF('02_Base_Solicitudes'!A42="","",'02_Base_Solicitudes'!M42)</f>
        <v/>
      </c>
      <c r="K44" s="33" t="str">
        <f>IF('02_Base_Solicitudes'!A42="","",'02_Base_Solicitudes'!K42)</f>
        <v/>
      </c>
      <c r="L44" s="19" t="str">
        <f t="shared" si="8"/>
        <v/>
      </c>
      <c r="M44" s="19"/>
      <c r="N44" s="34" t="str">
        <f t="shared" si="9"/>
        <v/>
      </c>
      <c r="O44" s="19"/>
      <c r="P44" s="34"/>
      <c r="Q44" s="19"/>
      <c r="R44" s="34"/>
      <c r="S44" s="19"/>
      <c r="T44" s="19"/>
      <c r="U44" s="19"/>
      <c r="V44" s="19"/>
      <c r="W44" s="34" t="str">
        <f t="shared" ref="W44:W63" si="15">IF($A44="","","Pendiente")</f>
        <v/>
      </c>
      <c r="X44" s="19"/>
      <c r="Y44" s="34"/>
      <c r="Z44" s="19"/>
      <c r="AA44" s="34"/>
      <c r="AB44" s="34"/>
      <c r="AC44" s="34" t="str">
        <f t="shared" si="10"/>
        <v/>
      </c>
      <c r="AD44" s="19"/>
      <c r="AE44" s="19"/>
      <c r="AF44" s="34" t="str">
        <f>OTMaestraTable[[#This Row],[Solicitante]]</f>
        <v/>
      </c>
      <c r="AG44" s="19"/>
      <c r="AH44" s="19" t="str">
        <f t="shared" si="11"/>
        <v/>
      </c>
      <c r="AI44" s="30" t="str">
        <f t="shared" si="12"/>
        <v/>
      </c>
      <c r="AJ44" s="30" t="str">
        <f t="shared" si="13"/>
        <v/>
      </c>
      <c r="AK44" s="30" t="str">
        <f t="shared" si="14"/>
        <v/>
      </c>
      <c r="AL44" s="19"/>
    </row>
    <row r="45" spans="1:38">
      <c r="A45" s="23" t="str">
        <f>IF('02_Base_Solicitudes'!A43="","",'02_Base_Solicitudes'!R43)</f>
        <v/>
      </c>
      <c r="B45" s="30" t="str">
        <f>IF('02_Base_Solicitudes'!A43="","",'02_Base_Solicitudes'!A43)</f>
        <v/>
      </c>
      <c r="C45" s="23" t="str">
        <f>IF('02_Base_Solicitudes'!A43="","",'02_Base_Solicitudes'!C43)</f>
        <v/>
      </c>
      <c r="D45" s="23" t="str">
        <f>IF('02_Base_Solicitudes'!A43="","",'02_Base_Solicitudes'!D43)</f>
        <v/>
      </c>
      <c r="E45" s="23" t="str">
        <f>IF('02_Base_Solicitudes'!A43="","",'02_Base_Solicitudes'!E43)</f>
        <v/>
      </c>
      <c r="F45" s="23" t="str">
        <f>IF('02_Base_Solicitudes'!A43="","",'02_Base_Solicitudes'!G43)</f>
        <v/>
      </c>
      <c r="G45" s="23" t="str">
        <f>IF('02_Base_Solicitudes'!A43="","",'02_Base_Solicitudes'!H43)</f>
        <v/>
      </c>
      <c r="H45" s="32" t="str">
        <f>IF('02_Base_Solicitudes'!A43="","",'02_Base_Solicitudes'!I43)</f>
        <v/>
      </c>
      <c r="I45" s="30" t="str">
        <f>IF('02_Base_Solicitudes'!A43="","",'02_Base_Solicitudes'!J43)</f>
        <v/>
      </c>
      <c r="J45" s="23" t="str">
        <f>IF('02_Base_Solicitudes'!A43="","",'02_Base_Solicitudes'!M43)</f>
        <v/>
      </c>
      <c r="K45" s="33" t="str">
        <f>IF('02_Base_Solicitudes'!A43="","",'02_Base_Solicitudes'!K43)</f>
        <v/>
      </c>
      <c r="L45" s="19" t="str">
        <f t="shared" si="8"/>
        <v/>
      </c>
      <c r="M45" s="19"/>
      <c r="N45" s="34" t="str">
        <f t="shared" si="9"/>
        <v/>
      </c>
      <c r="O45" s="19"/>
      <c r="P45" s="34"/>
      <c r="Q45" s="19"/>
      <c r="R45" s="34"/>
      <c r="S45" s="19"/>
      <c r="T45" s="19"/>
      <c r="U45" s="19"/>
      <c r="V45" s="19"/>
      <c r="W45" s="34" t="str">
        <f t="shared" si="15"/>
        <v/>
      </c>
      <c r="X45" s="19"/>
      <c r="Y45" s="34"/>
      <c r="Z45" s="19"/>
      <c r="AA45" s="34"/>
      <c r="AB45" s="34"/>
      <c r="AC45" s="34" t="str">
        <f t="shared" si="10"/>
        <v/>
      </c>
      <c r="AD45" s="19"/>
      <c r="AE45" s="19"/>
      <c r="AF45" s="34" t="str">
        <f>OTMaestraTable[[#This Row],[Solicitante]]</f>
        <v/>
      </c>
      <c r="AG45" s="19"/>
      <c r="AH45" s="19" t="str">
        <f t="shared" si="11"/>
        <v/>
      </c>
      <c r="AI45" s="30" t="str">
        <f t="shared" si="12"/>
        <v/>
      </c>
      <c r="AJ45" s="30" t="str">
        <f t="shared" si="13"/>
        <v/>
      </c>
      <c r="AK45" s="30" t="str">
        <f t="shared" si="14"/>
        <v/>
      </c>
      <c r="AL45" s="19"/>
    </row>
    <row r="46" spans="1:38">
      <c r="A46" s="23" t="str">
        <f>IF('02_Base_Solicitudes'!A44="","",'02_Base_Solicitudes'!R44)</f>
        <v/>
      </c>
      <c r="B46" s="30" t="str">
        <f>IF('02_Base_Solicitudes'!A44="","",'02_Base_Solicitudes'!A44)</f>
        <v/>
      </c>
      <c r="C46" s="23" t="str">
        <f>IF('02_Base_Solicitudes'!A44="","",'02_Base_Solicitudes'!C44)</f>
        <v/>
      </c>
      <c r="D46" s="23" t="str">
        <f>IF('02_Base_Solicitudes'!A44="","",'02_Base_Solicitudes'!D44)</f>
        <v/>
      </c>
      <c r="E46" s="23" t="str">
        <f>IF('02_Base_Solicitudes'!A44="","",'02_Base_Solicitudes'!E44)</f>
        <v/>
      </c>
      <c r="F46" s="23" t="str">
        <f>IF('02_Base_Solicitudes'!A44="","",'02_Base_Solicitudes'!G44)</f>
        <v/>
      </c>
      <c r="G46" s="23" t="str">
        <f>IF('02_Base_Solicitudes'!A44="","",'02_Base_Solicitudes'!H44)</f>
        <v/>
      </c>
      <c r="H46" s="32" t="str">
        <f>IF('02_Base_Solicitudes'!A44="","",'02_Base_Solicitudes'!I44)</f>
        <v/>
      </c>
      <c r="I46" s="30" t="str">
        <f>IF('02_Base_Solicitudes'!A44="","",'02_Base_Solicitudes'!J44)</f>
        <v/>
      </c>
      <c r="J46" s="23" t="str">
        <f>IF('02_Base_Solicitudes'!A44="","",'02_Base_Solicitudes'!M44)</f>
        <v/>
      </c>
      <c r="K46" s="33" t="str">
        <f>IF('02_Base_Solicitudes'!A44="","",'02_Base_Solicitudes'!K44)</f>
        <v/>
      </c>
      <c r="L46" s="19" t="str">
        <f t="shared" si="8"/>
        <v/>
      </c>
      <c r="M46" s="19"/>
      <c r="N46" s="34" t="str">
        <f t="shared" si="9"/>
        <v/>
      </c>
      <c r="O46" s="19"/>
      <c r="P46" s="34"/>
      <c r="Q46" s="19"/>
      <c r="R46" s="34"/>
      <c r="S46" s="19"/>
      <c r="T46" s="19"/>
      <c r="U46" s="19"/>
      <c r="V46" s="19"/>
      <c r="W46" s="34" t="str">
        <f t="shared" si="15"/>
        <v/>
      </c>
      <c r="X46" s="19"/>
      <c r="Y46" s="34"/>
      <c r="Z46" s="19"/>
      <c r="AA46" s="34"/>
      <c r="AB46" s="34"/>
      <c r="AC46" s="34" t="str">
        <f t="shared" si="10"/>
        <v/>
      </c>
      <c r="AD46" s="19"/>
      <c r="AE46" s="19"/>
      <c r="AF46" s="34" t="str">
        <f>OTMaestraTable[[#This Row],[Solicitante]]</f>
        <v/>
      </c>
      <c r="AG46" s="19"/>
      <c r="AH46" s="19" t="str">
        <f t="shared" si="11"/>
        <v/>
      </c>
      <c r="AI46" s="30" t="str">
        <f t="shared" si="12"/>
        <v/>
      </c>
      <c r="AJ46" s="30" t="str">
        <f t="shared" si="13"/>
        <v/>
      </c>
      <c r="AK46" s="30" t="str">
        <f t="shared" si="14"/>
        <v/>
      </c>
      <c r="AL46" s="19"/>
    </row>
    <row r="47" spans="1:38">
      <c r="A47" s="23" t="str">
        <f>IF('02_Base_Solicitudes'!A45="","",'02_Base_Solicitudes'!R45)</f>
        <v/>
      </c>
      <c r="B47" s="30" t="str">
        <f>IF('02_Base_Solicitudes'!A45="","",'02_Base_Solicitudes'!A45)</f>
        <v/>
      </c>
      <c r="C47" s="23" t="str">
        <f>IF('02_Base_Solicitudes'!A45="","",'02_Base_Solicitudes'!C45)</f>
        <v/>
      </c>
      <c r="D47" s="23" t="str">
        <f>IF('02_Base_Solicitudes'!A45="","",'02_Base_Solicitudes'!D45)</f>
        <v/>
      </c>
      <c r="E47" s="23" t="str">
        <f>IF('02_Base_Solicitudes'!A45="","",'02_Base_Solicitudes'!E45)</f>
        <v/>
      </c>
      <c r="F47" s="23" t="str">
        <f>IF('02_Base_Solicitudes'!A45="","",'02_Base_Solicitudes'!G45)</f>
        <v/>
      </c>
      <c r="G47" s="23" t="str">
        <f>IF('02_Base_Solicitudes'!A45="","",'02_Base_Solicitudes'!H45)</f>
        <v/>
      </c>
      <c r="H47" s="32" t="str">
        <f>IF('02_Base_Solicitudes'!A45="","",'02_Base_Solicitudes'!I45)</f>
        <v/>
      </c>
      <c r="I47" s="30" t="str">
        <f>IF('02_Base_Solicitudes'!A45="","",'02_Base_Solicitudes'!J45)</f>
        <v/>
      </c>
      <c r="J47" s="23" t="str">
        <f>IF('02_Base_Solicitudes'!A45="","",'02_Base_Solicitudes'!M45)</f>
        <v/>
      </c>
      <c r="K47" s="33" t="str">
        <f>IF('02_Base_Solicitudes'!A45="","",'02_Base_Solicitudes'!K45)</f>
        <v/>
      </c>
      <c r="L47" s="19" t="str">
        <f t="shared" si="8"/>
        <v/>
      </c>
      <c r="M47" s="19"/>
      <c r="N47" s="34" t="str">
        <f t="shared" si="9"/>
        <v/>
      </c>
      <c r="O47" s="19"/>
      <c r="P47" s="34"/>
      <c r="Q47" s="19"/>
      <c r="R47" s="34"/>
      <c r="S47" s="19"/>
      <c r="T47" s="19"/>
      <c r="U47" s="19"/>
      <c r="V47" s="19"/>
      <c r="W47" s="34" t="str">
        <f t="shared" si="15"/>
        <v/>
      </c>
      <c r="X47" s="19"/>
      <c r="Y47" s="34"/>
      <c r="Z47" s="19"/>
      <c r="AA47" s="34"/>
      <c r="AB47" s="34"/>
      <c r="AC47" s="34" t="str">
        <f t="shared" si="10"/>
        <v/>
      </c>
      <c r="AD47" s="19"/>
      <c r="AE47" s="19"/>
      <c r="AF47" s="34" t="str">
        <f>OTMaestraTable[[#This Row],[Solicitante]]</f>
        <v/>
      </c>
      <c r="AG47" s="19"/>
      <c r="AH47" s="19" t="str">
        <f t="shared" si="11"/>
        <v/>
      </c>
      <c r="AI47" s="30" t="str">
        <f t="shared" si="12"/>
        <v/>
      </c>
      <c r="AJ47" s="30" t="str">
        <f t="shared" si="13"/>
        <v/>
      </c>
      <c r="AK47" s="30" t="str">
        <f t="shared" si="14"/>
        <v/>
      </c>
      <c r="AL47" s="19"/>
    </row>
    <row r="48" spans="1:38">
      <c r="A48" s="23" t="str">
        <f>IF('02_Base_Solicitudes'!A46="","",'02_Base_Solicitudes'!R46)</f>
        <v/>
      </c>
      <c r="B48" s="30" t="str">
        <f>IF('02_Base_Solicitudes'!A46="","",'02_Base_Solicitudes'!A46)</f>
        <v/>
      </c>
      <c r="C48" s="23" t="str">
        <f>IF('02_Base_Solicitudes'!A46="","",'02_Base_Solicitudes'!C46)</f>
        <v/>
      </c>
      <c r="D48" s="23" t="str">
        <f>IF('02_Base_Solicitudes'!A46="","",'02_Base_Solicitudes'!D46)</f>
        <v/>
      </c>
      <c r="E48" s="23" t="str">
        <f>IF('02_Base_Solicitudes'!A46="","",'02_Base_Solicitudes'!E46)</f>
        <v/>
      </c>
      <c r="F48" s="23" t="str">
        <f>IF('02_Base_Solicitudes'!A46="","",'02_Base_Solicitudes'!G46)</f>
        <v/>
      </c>
      <c r="G48" s="23" t="str">
        <f>IF('02_Base_Solicitudes'!A46="","",'02_Base_Solicitudes'!H46)</f>
        <v/>
      </c>
      <c r="H48" s="32" t="str">
        <f>IF('02_Base_Solicitudes'!A46="","",'02_Base_Solicitudes'!I46)</f>
        <v/>
      </c>
      <c r="I48" s="30" t="str">
        <f>IF('02_Base_Solicitudes'!A46="","",'02_Base_Solicitudes'!J46)</f>
        <v/>
      </c>
      <c r="J48" s="23" t="str">
        <f>IF('02_Base_Solicitudes'!A46="","",'02_Base_Solicitudes'!M46)</f>
        <v/>
      </c>
      <c r="K48" s="33" t="str">
        <f>IF('02_Base_Solicitudes'!A46="","",'02_Base_Solicitudes'!K46)</f>
        <v/>
      </c>
      <c r="L48" s="19" t="str">
        <f t="shared" si="8"/>
        <v/>
      </c>
      <c r="M48" s="19"/>
      <c r="N48" s="34" t="str">
        <f t="shared" si="9"/>
        <v/>
      </c>
      <c r="O48" s="19"/>
      <c r="P48" s="34"/>
      <c r="Q48" s="19"/>
      <c r="R48" s="34"/>
      <c r="S48" s="19"/>
      <c r="T48" s="19"/>
      <c r="U48" s="19"/>
      <c r="V48" s="19"/>
      <c r="W48" s="34" t="str">
        <f t="shared" si="15"/>
        <v/>
      </c>
      <c r="X48" s="19"/>
      <c r="Y48" s="34"/>
      <c r="Z48" s="19"/>
      <c r="AA48" s="34"/>
      <c r="AB48" s="34"/>
      <c r="AC48" s="34" t="str">
        <f t="shared" si="10"/>
        <v/>
      </c>
      <c r="AD48" s="19"/>
      <c r="AE48" s="19"/>
      <c r="AF48" s="34" t="str">
        <f>OTMaestraTable[[#This Row],[Solicitante]]</f>
        <v/>
      </c>
      <c r="AG48" s="19"/>
      <c r="AH48" s="19" t="str">
        <f t="shared" si="11"/>
        <v/>
      </c>
      <c r="AI48" s="30" t="str">
        <f t="shared" si="12"/>
        <v/>
      </c>
      <c r="AJ48" s="30" t="str">
        <f t="shared" si="13"/>
        <v/>
      </c>
      <c r="AK48" s="30" t="str">
        <f t="shared" si="14"/>
        <v/>
      </c>
      <c r="AL48" s="19"/>
    </row>
    <row r="49" spans="1:38">
      <c r="A49" s="23" t="str">
        <f>IF('02_Base_Solicitudes'!A47="","",'02_Base_Solicitudes'!R47)</f>
        <v/>
      </c>
      <c r="B49" s="30" t="str">
        <f>IF('02_Base_Solicitudes'!A47="","",'02_Base_Solicitudes'!A47)</f>
        <v/>
      </c>
      <c r="C49" s="23" t="str">
        <f>IF('02_Base_Solicitudes'!A47="","",'02_Base_Solicitudes'!C47)</f>
        <v/>
      </c>
      <c r="D49" s="23" t="str">
        <f>IF('02_Base_Solicitudes'!A47="","",'02_Base_Solicitudes'!D47)</f>
        <v/>
      </c>
      <c r="E49" s="23" t="str">
        <f>IF('02_Base_Solicitudes'!A47="","",'02_Base_Solicitudes'!E47)</f>
        <v/>
      </c>
      <c r="F49" s="23" t="str">
        <f>IF('02_Base_Solicitudes'!A47="","",'02_Base_Solicitudes'!G47)</f>
        <v/>
      </c>
      <c r="G49" s="23" t="str">
        <f>IF('02_Base_Solicitudes'!A47="","",'02_Base_Solicitudes'!H47)</f>
        <v/>
      </c>
      <c r="H49" s="32" t="str">
        <f>IF('02_Base_Solicitudes'!A47="","",'02_Base_Solicitudes'!I47)</f>
        <v/>
      </c>
      <c r="I49" s="30" t="str">
        <f>IF('02_Base_Solicitudes'!A47="","",'02_Base_Solicitudes'!J47)</f>
        <v/>
      </c>
      <c r="J49" s="23" t="str">
        <f>IF('02_Base_Solicitudes'!A47="","",'02_Base_Solicitudes'!M47)</f>
        <v/>
      </c>
      <c r="K49" s="33" t="str">
        <f>IF('02_Base_Solicitudes'!A47="","",'02_Base_Solicitudes'!K47)</f>
        <v/>
      </c>
      <c r="L49" s="19" t="str">
        <f t="shared" si="8"/>
        <v/>
      </c>
      <c r="M49" s="19"/>
      <c r="N49" s="34" t="str">
        <f t="shared" si="9"/>
        <v/>
      </c>
      <c r="O49" s="19"/>
      <c r="P49" s="34"/>
      <c r="Q49" s="19"/>
      <c r="R49" s="34"/>
      <c r="S49" s="19"/>
      <c r="T49" s="19"/>
      <c r="U49" s="19"/>
      <c r="V49" s="19"/>
      <c r="W49" s="34" t="str">
        <f t="shared" si="15"/>
        <v/>
      </c>
      <c r="X49" s="19"/>
      <c r="Y49" s="34"/>
      <c r="Z49" s="19"/>
      <c r="AA49" s="34"/>
      <c r="AB49" s="34"/>
      <c r="AC49" s="34" t="str">
        <f t="shared" si="10"/>
        <v/>
      </c>
      <c r="AD49" s="19"/>
      <c r="AE49" s="19"/>
      <c r="AF49" s="34" t="str">
        <f>OTMaestraTable[[#This Row],[Solicitante]]</f>
        <v/>
      </c>
      <c r="AG49" s="19"/>
      <c r="AH49" s="19" t="str">
        <f t="shared" si="11"/>
        <v/>
      </c>
      <c r="AI49" s="30" t="str">
        <f t="shared" si="12"/>
        <v/>
      </c>
      <c r="AJ49" s="30" t="str">
        <f t="shared" si="13"/>
        <v/>
      </c>
      <c r="AK49" s="30" t="str">
        <f t="shared" si="14"/>
        <v/>
      </c>
      <c r="AL49" s="19"/>
    </row>
    <row r="50" spans="1:38">
      <c r="A50" s="23" t="str">
        <f>IF('02_Base_Solicitudes'!A48="","",'02_Base_Solicitudes'!R48)</f>
        <v/>
      </c>
      <c r="B50" s="30" t="str">
        <f>IF('02_Base_Solicitudes'!A48="","",'02_Base_Solicitudes'!A48)</f>
        <v/>
      </c>
      <c r="C50" s="23" t="str">
        <f>IF('02_Base_Solicitudes'!A48="","",'02_Base_Solicitudes'!C48)</f>
        <v/>
      </c>
      <c r="D50" s="23" t="str">
        <f>IF('02_Base_Solicitudes'!A48="","",'02_Base_Solicitudes'!D48)</f>
        <v/>
      </c>
      <c r="E50" s="23" t="str">
        <f>IF('02_Base_Solicitudes'!A48="","",'02_Base_Solicitudes'!E48)</f>
        <v/>
      </c>
      <c r="F50" s="23" t="str">
        <f>IF('02_Base_Solicitudes'!A48="","",'02_Base_Solicitudes'!G48)</f>
        <v/>
      </c>
      <c r="G50" s="23" t="str">
        <f>IF('02_Base_Solicitudes'!A48="","",'02_Base_Solicitudes'!H48)</f>
        <v/>
      </c>
      <c r="H50" s="32" t="str">
        <f>IF('02_Base_Solicitudes'!A48="","",'02_Base_Solicitudes'!I48)</f>
        <v/>
      </c>
      <c r="I50" s="30" t="str">
        <f>IF('02_Base_Solicitudes'!A48="","",'02_Base_Solicitudes'!J48)</f>
        <v/>
      </c>
      <c r="J50" s="23" t="str">
        <f>IF('02_Base_Solicitudes'!A48="","",'02_Base_Solicitudes'!M48)</f>
        <v/>
      </c>
      <c r="K50" s="33" t="str">
        <f>IF('02_Base_Solicitudes'!A48="","",'02_Base_Solicitudes'!K48)</f>
        <v/>
      </c>
      <c r="L50" s="19" t="str">
        <f t="shared" si="8"/>
        <v/>
      </c>
      <c r="M50" s="19"/>
      <c r="N50" s="34" t="str">
        <f t="shared" si="9"/>
        <v/>
      </c>
      <c r="O50" s="19"/>
      <c r="P50" s="34"/>
      <c r="Q50" s="19"/>
      <c r="R50" s="34"/>
      <c r="S50" s="19"/>
      <c r="T50" s="19"/>
      <c r="U50" s="19"/>
      <c r="V50" s="19"/>
      <c r="W50" s="34" t="str">
        <f t="shared" si="15"/>
        <v/>
      </c>
      <c r="X50" s="19"/>
      <c r="Y50" s="34"/>
      <c r="Z50" s="19"/>
      <c r="AA50" s="34"/>
      <c r="AB50" s="34"/>
      <c r="AC50" s="34" t="str">
        <f t="shared" si="10"/>
        <v/>
      </c>
      <c r="AD50" s="19"/>
      <c r="AE50" s="19"/>
      <c r="AF50" s="34" t="str">
        <f>OTMaestraTable[[#This Row],[Solicitante]]</f>
        <v/>
      </c>
      <c r="AG50" s="19"/>
      <c r="AH50" s="19" t="str">
        <f t="shared" si="11"/>
        <v/>
      </c>
      <c r="AI50" s="30" t="str">
        <f t="shared" si="12"/>
        <v/>
      </c>
      <c r="AJ50" s="30" t="str">
        <f t="shared" si="13"/>
        <v/>
      </c>
      <c r="AK50" s="30" t="str">
        <f t="shared" si="14"/>
        <v/>
      </c>
      <c r="AL50" s="19"/>
    </row>
    <row r="51" spans="1:38">
      <c r="A51" s="23" t="str">
        <f>IF('02_Base_Solicitudes'!A49="","",'02_Base_Solicitudes'!R49)</f>
        <v/>
      </c>
      <c r="B51" s="30" t="str">
        <f>IF('02_Base_Solicitudes'!A49="","",'02_Base_Solicitudes'!A49)</f>
        <v/>
      </c>
      <c r="C51" s="23" t="str">
        <f>IF('02_Base_Solicitudes'!A49="","",'02_Base_Solicitudes'!C49)</f>
        <v/>
      </c>
      <c r="D51" s="23" t="str">
        <f>IF('02_Base_Solicitudes'!A49="","",'02_Base_Solicitudes'!D49)</f>
        <v/>
      </c>
      <c r="E51" s="23" t="str">
        <f>IF('02_Base_Solicitudes'!A49="","",'02_Base_Solicitudes'!E49)</f>
        <v/>
      </c>
      <c r="F51" s="23" t="str">
        <f>IF('02_Base_Solicitudes'!A49="","",'02_Base_Solicitudes'!G49)</f>
        <v/>
      </c>
      <c r="G51" s="23" t="str">
        <f>IF('02_Base_Solicitudes'!A49="","",'02_Base_Solicitudes'!H49)</f>
        <v/>
      </c>
      <c r="H51" s="32" t="str">
        <f>IF('02_Base_Solicitudes'!A49="","",'02_Base_Solicitudes'!I49)</f>
        <v/>
      </c>
      <c r="I51" s="30" t="str">
        <f>IF('02_Base_Solicitudes'!A49="","",'02_Base_Solicitudes'!J49)</f>
        <v/>
      </c>
      <c r="J51" s="23" t="str">
        <f>IF('02_Base_Solicitudes'!A49="","",'02_Base_Solicitudes'!M49)</f>
        <v/>
      </c>
      <c r="K51" s="33" t="str">
        <f>IF('02_Base_Solicitudes'!A49="","",'02_Base_Solicitudes'!K49)</f>
        <v/>
      </c>
      <c r="L51" s="19" t="str">
        <f t="shared" si="8"/>
        <v/>
      </c>
      <c r="M51" s="19"/>
      <c r="N51" s="34" t="str">
        <f t="shared" si="9"/>
        <v/>
      </c>
      <c r="O51" s="19"/>
      <c r="P51" s="34"/>
      <c r="Q51" s="19"/>
      <c r="R51" s="34"/>
      <c r="S51" s="19"/>
      <c r="T51" s="19"/>
      <c r="U51" s="19"/>
      <c r="V51" s="19"/>
      <c r="W51" s="34" t="str">
        <f t="shared" si="15"/>
        <v/>
      </c>
      <c r="X51" s="19"/>
      <c r="Y51" s="34"/>
      <c r="Z51" s="19"/>
      <c r="AA51" s="34"/>
      <c r="AB51" s="34"/>
      <c r="AC51" s="34" t="str">
        <f t="shared" si="10"/>
        <v/>
      </c>
      <c r="AD51" s="19"/>
      <c r="AE51" s="19"/>
      <c r="AF51" s="34" t="str">
        <f>OTMaestraTable[[#This Row],[Solicitante]]</f>
        <v/>
      </c>
      <c r="AG51" s="19"/>
      <c r="AH51" s="19" t="str">
        <f t="shared" si="11"/>
        <v/>
      </c>
      <c r="AI51" s="30" t="str">
        <f t="shared" si="12"/>
        <v/>
      </c>
      <c r="AJ51" s="30" t="str">
        <f t="shared" si="13"/>
        <v/>
      </c>
      <c r="AK51" s="30" t="str">
        <f t="shared" si="14"/>
        <v/>
      </c>
      <c r="AL51" s="19"/>
    </row>
    <row r="52" spans="1:38">
      <c r="A52" s="23" t="str">
        <f>IF('02_Base_Solicitudes'!A50="","",'02_Base_Solicitudes'!R50)</f>
        <v/>
      </c>
      <c r="B52" s="30" t="str">
        <f>IF('02_Base_Solicitudes'!A50="","",'02_Base_Solicitudes'!A50)</f>
        <v/>
      </c>
      <c r="C52" s="23" t="str">
        <f>IF('02_Base_Solicitudes'!A50="","",'02_Base_Solicitudes'!C50)</f>
        <v/>
      </c>
      <c r="D52" s="23" t="str">
        <f>IF('02_Base_Solicitudes'!A50="","",'02_Base_Solicitudes'!D50)</f>
        <v/>
      </c>
      <c r="E52" s="23" t="str">
        <f>IF('02_Base_Solicitudes'!A50="","",'02_Base_Solicitudes'!E50)</f>
        <v/>
      </c>
      <c r="F52" s="23" t="str">
        <f>IF('02_Base_Solicitudes'!A50="","",'02_Base_Solicitudes'!G50)</f>
        <v/>
      </c>
      <c r="G52" s="23" t="str">
        <f>IF('02_Base_Solicitudes'!A50="","",'02_Base_Solicitudes'!H50)</f>
        <v/>
      </c>
      <c r="H52" s="32" t="str">
        <f>IF('02_Base_Solicitudes'!A50="","",'02_Base_Solicitudes'!I50)</f>
        <v/>
      </c>
      <c r="I52" s="30" t="str">
        <f>IF('02_Base_Solicitudes'!A50="","",'02_Base_Solicitudes'!J50)</f>
        <v/>
      </c>
      <c r="J52" s="23" t="str">
        <f>IF('02_Base_Solicitudes'!A50="","",'02_Base_Solicitudes'!M50)</f>
        <v/>
      </c>
      <c r="K52" s="33" t="str">
        <f>IF('02_Base_Solicitudes'!A50="","",'02_Base_Solicitudes'!K50)</f>
        <v/>
      </c>
      <c r="L52" s="19" t="str">
        <f t="shared" si="8"/>
        <v/>
      </c>
      <c r="M52" s="19"/>
      <c r="N52" s="34" t="str">
        <f t="shared" si="9"/>
        <v/>
      </c>
      <c r="O52" s="19"/>
      <c r="P52" s="34"/>
      <c r="Q52" s="19"/>
      <c r="R52" s="34"/>
      <c r="S52" s="19"/>
      <c r="T52" s="19"/>
      <c r="U52" s="19"/>
      <c r="V52" s="19"/>
      <c r="W52" s="34" t="str">
        <f t="shared" si="15"/>
        <v/>
      </c>
      <c r="X52" s="19"/>
      <c r="Y52" s="34"/>
      <c r="Z52" s="19"/>
      <c r="AA52" s="34"/>
      <c r="AB52" s="34"/>
      <c r="AC52" s="34" t="str">
        <f t="shared" si="10"/>
        <v/>
      </c>
      <c r="AD52" s="19"/>
      <c r="AE52" s="19"/>
      <c r="AF52" s="34" t="str">
        <f>OTMaestraTable[[#This Row],[Solicitante]]</f>
        <v/>
      </c>
      <c r="AG52" s="19"/>
      <c r="AH52" s="19" t="str">
        <f t="shared" si="11"/>
        <v/>
      </c>
      <c r="AI52" s="30" t="str">
        <f t="shared" si="12"/>
        <v/>
      </c>
      <c r="AJ52" s="30" t="str">
        <f t="shared" si="13"/>
        <v/>
      </c>
      <c r="AK52" s="30" t="str">
        <f t="shared" si="14"/>
        <v/>
      </c>
      <c r="AL52" s="19"/>
    </row>
    <row r="53" spans="1:38">
      <c r="A53" s="23" t="str">
        <f>IF('02_Base_Solicitudes'!A51="","",'02_Base_Solicitudes'!R51)</f>
        <v/>
      </c>
      <c r="B53" s="30" t="str">
        <f>IF('02_Base_Solicitudes'!A51="","",'02_Base_Solicitudes'!A51)</f>
        <v/>
      </c>
      <c r="C53" s="23" t="str">
        <f>IF('02_Base_Solicitudes'!A51="","",'02_Base_Solicitudes'!C51)</f>
        <v/>
      </c>
      <c r="D53" s="23" t="str">
        <f>IF('02_Base_Solicitudes'!A51="","",'02_Base_Solicitudes'!D51)</f>
        <v/>
      </c>
      <c r="E53" s="23" t="str">
        <f>IF('02_Base_Solicitudes'!A51="","",'02_Base_Solicitudes'!E51)</f>
        <v/>
      </c>
      <c r="F53" s="23" t="str">
        <f>IF('02_Base_Solicitudes'!A51="","",'02_Base_Solicitudes'!G51)</f>
        <v/>
      </c>
      <c r="G53" s="23" t="str">
        <f>IF('02_Base_Solicitudes'!A51="","",'02_Base_Solicitudes'!H51)</f>
        <v/>
      </c>
      <c r="H53" s="32" t="str">
        <f>IF('02_Base_Solicitudes'!A51="","",'02_Base_Solicitudes'!I51)</f>
        <v/>
      </c>
      <c r="I53" s="30" t="str">
        <f>IF('02_Base_Solicitudes'!A51="","",'02_Base_Solicitudes'!J51)</f>
        <v/>
      </c>
      <c r="J53" s="23" t="str">
        <f>IF('02_Base_Solicitudes'!A51="","",'02_Base_Solicitudes'!M51)</f>
        <v/>
      </c>
      <c r="K53" s="33" t="str">
        <f>IF('02_Base_Solicitudes'!A51="","",'02_Base_Solicitudes'!K51)</f>
        <v/>
      </c>
      <c r="L53" s="19" t="str">
        <f t="shared" si="8"/>
        <v/>
      </c>
      <c r="M53" s="19"/>
      <c r="N53" s="34" t="str">
        <f t="shared" si="9"/>
        <v/>
      </c>
      <c r="O53" s="19"/>
      <c r="P53" s="34"/>
      <c r="Q53" s="19"/>
      <c r="R53" s="34"/>
      <c r="S53" s="19"/>
      <c r="T53" s="19"/>
      <c r="U53" s="19"/>
      <c r="V53" s="19"/>
      <c r="W53" s="34" t="str">
        <f t="shared" si="15"/>
        <v/>
      </c>
      <c r="X53" s="19"/>
      <c r="Y53" s="34"/>
      <c r="Z53" s="19"/>
      <c r="AA53" s="34"/>
      <c r="AB53" s="34"/>
      <c r="AC53" s="34" t="str">
        <f t="shared" si="10"/>
        <v/>
      </c>
      <c r="AD53" s="19"/>
      <c r="AE53" s="19"/>
      <c r="AF53" s="34" t="str">
        <f>OTMaestraTable[[#This Row],[Solicitante]]</f>
        <v/>
      </c>
      <c r="AG53" s="19"/>
      <c r="AH53" s="19" t="str">
        <f t="shared" si="11"/>
        <v/>
      </c>
      <c r="AI53" s="30" t="str">
        <f t="shared" si="12"/>
        <v/>
      </c>
      <c r="AJ53" s="30" t="str">
        <f t="shared" si="13"/>
        <v/>
      </c>
      <c r="AK53" s="30" t="str">
        <f t="shared" si="14"/>
        <v/>
      </c>
      <c r="AL53" s="19"/>
    </row>
    <row r="54" spans="1:38">
      <c r="A54" s="23" t="str">
        <f>IF('02_Base_Solicitudes'!A52="","",'02_Base_Solicitudes'!R52)</f>
        <v/>
      </c>
      <c r="B54" s="30" t="str">
        <f>IF('02_Base_Solicitudes'!A52="","",'02_Base_Solicitudes'!A52)</f>
        <v/>
      </c>
      <c r="C54" s="23" t="str">
        <f>IF('02_Base_Solicitudes'!A52="","",'02_Base_Solicitudes'!C52)</f>
        <v/>
      </c>
      <c r="D54" s="23" t="str">
        <f>IF('02_Base_Solicitudes'!A52="","",'02_Base_Solicitudes'!D52)</f>
        <v/>
      </c>
      <c r="E54" s="23" t="str">
        <f>IF('02_Base_Solicitudes'!A52="","",'02_Base_Solicitudes'!E52)</f>
        <v/>
      </c>
      <c r="F54" s="23" t="str">
        <f>IF('02_Base_Solicitudes'!A52="","",'02_Base_Solicitudes'!G52)</f>
        <v/>
      </c>
      <c r="G54" s="23" t="str">
        <f>IF('02_Base_Solicitudes'!A52="","",'02_Base_Solicitudes'!H52)</f>
        <v/>
      </c>
      <c r="H54" s="32" t="str">
        <f>IF('02_Base_Solicitudes'!A52="","",'02_Base_Solicitudes'!I52)</f>
        <v/>
      </c>
      <c r="I54" s="30" t="str">
        <f>IF('02_Base_Solicitudes'!A52="","",'02_Base_Solicitudes'!J52)</f>
        <v/>
      </c>
      <c r="J54" s="23" t="str">
        <f>IF('02_Base_Solicitudes'!A52="","",'02_Base_Solicitudes'!M52)</f>
        <v/>
      </c>
      <c r="K54" s="33" t="str">
        <f>IF('02_Base_Solicitudes'!A52="","",'02_Base_Solicitudes'!K52)</f>
        <v/>
      </c>
      <c r="L54" s="19" t="str">
        <f t="shared" si="8"/>
        <v/>
      </c>
      <c r="M54" s="19"/>
      <c r="N54" s="34" t="str">
        <f t="shared" si="9"/>
        <v/>
      </c>
      <c r="O54" s="19"/>
      <c r="P54" s="34"/>
      <c r="Q54" s="19"/>
      <c r="R54" s="34"/>
      <c r="S54" s="19"/>
      <c r="T54" s="19"/>
      <c r="U54" s="19"/>
      <c r="V54" s="19"/>
      <c r="W54" s="34" t="str">
        <f t="shared" si="15"/>
        <v/>
      </c>
      <c r="X54" s="19"/>
      <c r="Y54" s="34"/>
      <c r="Z54" s="19"/>
      <c r="AA54" s="34"/>
      <c r="AB54" s="34"/>
      <c r="AC54" s="34" t="str">
        <f t="shared" si="10"/>
        <v/>
      </c>
      <c r="AD54" s="19"/>
      <c r="AE54" s="19"/>
      <c r="AF54" s="34" t="str">
        <f>OTMaestraTable[[#This Row],[Solicitante]]</f>
        <v/>
      </c>
      <c r="AG54" s="19"/>
      <c r="AH54" s="19" t="str">
        <f t="shared" si="11"/>
        <v/>
      </c>
      <c r="AI54" s="30" t="str">
        <f t="shared" si="12"/>
        <v/>
      </c>
      <c r="AJ54" s="30" t="str">
        <f t="shared" si="13"/>
        <v/>
      </c>
      <c r="AK54" s="30" t="str">
        <f t="shared" si="14"/>
        <v/>
      </c>
      <c r="AL54" s="19"/>
    </row>
    <row r="55" spans="1:38">
      <c r="A55" s="23" t="str">
        <f>IF('02_Base_Solicitudes'!A53="","",'02_Base_Solicitudes'!R53)</f>
        <v/>
      </c>
      <c r="B55" s="30" t="str">
        <f>IF('02_Base_Solicitudes'!A53="","",'02_Base_Solicitudes'!A53)</f>
        <v/>
      </c>
      <c r="C55" s="23" t="str">
        <f>IF('02_Base_Solicitudes'!A53="","",'02_Base_Solicitudes'!C53)</f>
        <v/>
      </c>
      <c r="D55" s="23" t="str">
        <f>IF('02_Base_Solicitudes'!A53="","",'02_Base_Solicitudes'!D53)</f>
        <v/>
      </c>
      <c r="E55" s="23" t="str">
        <f>IF('02_Base_Solicitudes'!A53="","",'02_Base_Solicitudes'!E53)</f>
        <v/>
      </c>
      <c r="F55" s="23" t="str">
        <f>IF('02_Base_Solicitudes'!A53="","",'02_Base_Solicitudes'!G53)</f>
        <v/>
      </c>
      <c r="G55" s="23" t="str">
        <f>IF('02_Base_Solicitudes'!A53="","",'02_Base_Solicitudes'!H53)</f>
        <v/>
      </c>
      <c r="H55" s="32" t="str">
        <f>IF('02_Base_Solicitudes'!A53="","",'02_Base_Solicitudes'!I53)</f>
        <v/>
      </c>
      <c r="I55" s="30" t="str">
        <f>IF('02_Base_Solicitudes'!A53="","",'02_Base_Solicitudes'!J53)</f>
        <v/>
      </c>
      <c r="J55" s="23" t="str">
        <f>IF('02_Base_Solicitudes'!A53="","",'02_Base_Solicitudes'!M53)</f>
        <v/>
      </c>
      <c r="K55" s="33" t="str">
        <f>IF('02_Base_Solicitudes'!A53="","",'02_Base_Solicitudes'!K53)</f>
        <v/>
      </c>
      <c r="L55" s="19" t="str">
        <f t="shared" si="8"/>
        <v/>
      </c>
      <c r="M55" s="19"/>
      <c r="N55" s="34" t="str">
        <f t="shared" si="9"/>
        <v/>
      </c>
      <c r="O55" s="19"/>
      <c r="P55" s="34"/>
      <c r="Q55" s="19"/>
      <c r="R55" s="34"/>
      <c r="S55" s="19"/>
      <c r="T55" s="19"/>
      <c r="U55" s="19"/>
      <c r="V55" s="19"/>
      <c r="W55" s="34" t="str">
        <f t="shared" si="15"/>
        <v/>
      </c>
      <c r="X55" s="19"/>
      <c r="Y55" s="34"/>
      <c r="Z55" s="19"/>
      <c r="AA55" s="34"/>
      <c r="AB55" s="34"/>
      <c r="AC55" s="34" t="str">
        <f t="shared" si="10"/>
        <v/>
      </c>
      <c r="AD55" s="19"/>
      <c r="AE55" s="19"/>
      <c r="AF55" s="34" t="str">
        <f>OTMaestraTable[[#This Row],[Solicitante]]</f>
        <v/>
      </c>
      <c r="AG55" s="19"/>
      <c r="AH55" s="19" t="str">
        <f t="shared" si="11"/>
        <v/>
      </c>
      <c r="AI55" s="30" t="str">
        <f t="shared" si="12"/>
        <v/>
      </c>
      <c r="AJ55" s="30" t="str">
        <f t="shared" si="13"/>
        <v/>
      </c>
      <c r="AK55" s="30" t="str">
        <f t="shared" si="14"/>
        <v/>
      </c>
      <c r="AL55" s="19"/>
    </row>
    <row r="56" spans="1:38">
      <c r="A56" s="23" t="str">
        <f>IF('02_Base_Solicitudes'!A54="","",'02_Base_Solicitudes'!R54)</f>
        <v/>
      </c>
      <c r="B56" s="30" t="str">
        <f>IF('02_Base_Solicitudes'!A54="","",'02_Base_Solicitudes'!A54)</f>
        <v/>
      </c>
      <c r="C56" s="23" t="str">
        <f>IF('02_Base_Solicitudes'!A54="","",'02_Base_Solicitudes'!C54)</f>
        <v/>
      </c>
      <c r="D56" s="23" t="str">
        <f>IF('02_Base_Solicitudes'!A54="","",'02_Base_Solicitudes'!D54)</f>
        <v/>
      </c>
      <c r="E56" s="23" t="str">
        <f>IF('02_Base_Solicitudes'!A54="","",'02_Base_Solicitudes'!E54)</f>
        <v/>
      </c>
      <c r="F56" s="23" t="str">
        <f>IF('02_Base_Solicitudes'!A54="","",'02_Base_Solicitudes'!G54)</f>
        <v/>
      </c>
      <c r="G56" s="23" t="str">
        <f>IF('02_Base_Solicitudes'!A54="","",'02_Base_Solicitudes'!H54)</f>
        <v/>
      </c>
      <c r="H56" s="32" t="str">
        <f>IF('02_Base_Solicitudes'!A54="","",'02_Base_Solicitudes'!I54)</f>
        <v/>
      </c>
      <c r="I56" s="30" t="str">
        <f>IF('02_Base_Solicitudes'!A54="","",'02_Base_Solicitudes'!J54)</f>
        <v/>
      </c>
      <c r="J56" s="23" t="str">
        <f>IF('02_Base_Solicitudes'!A54="","",'02_Base_Solicitudes'!M54)</f>
        <v/>
      </c>
      <c r="K56" s="33" t="str">
        <f>IF('02_Base_Solicitudes'!A54="","",'02_Base_Solicitudes'!K54)</f>
        <v/>
      </c>
      <c r="L56" s="19" t="str">
        <f t="shared" si="8"/>
        <v/>
      </c>
      <c r="M56" s="19"/>
      <c r="N56" s="34" t="str">
        <f t="shared" si="9"/>
        <v/>
      </c>
      <c r="O56" s="19"/>
      <c r="P56" s="34"/>
      <c r="Q56" s="19"/>
      <c r="R56" s="34"/>
      <c r="S56" s="19"/>
      <c r="T56" s="19"/>
      <c r="U56" s="19"/>
      <c r="V56" s="19"/>
      <c r="W56" s="34" t="str">
        <f t="shared" si="15"/>
        <v/>
      </c>
      <c r="X56" s="19"/>
      <c r="Y56" s="34"/>
      <c r="Z56" s="19"/>
      <c r="AA56" s="34"/>
      <c r="AB56" s="34"/>
      <c r="AC56" s="34" t="str">
        <f t="shared" si="10"/>
        <v/>
      </c>
      <c r="AD56" s="19"/>
      <c r="AE56" s="19"/>
      <c r="AF56" s="34" t="str">
        <f>OTMaestraTable[[#This Row],[Solicitante]]</f>
        <v/>
      </c>
      <c r="AG56" s="19"/>
      <c r="AH56" s="19" t="str">
        <f t="shared" si="11"/>
        <v/>
      </c>
      <c r="AI56" s="30" t="str">
        <f t="shared" si="12"/>
        <v/>
      </c>
      <c r="AJ56" s="30" t="str">
        <f t="shared" si="13"/>
        <v/>
      </c>
      <c r="AK56" s="30" t="str">
        <f t="shared" si="14"/>
        <v/>
      </c>
      <c r="AL56" s="19"/>
    </row>
    <row r="57" spans="1:38">
      <c r="A57" s="23" t="str">
        <f>IF('02_Base_Solicitudes'!A55="","",'02_Base_Solicitudes'!R55)</f>
        <v/>
      </c>
      <c r="B57" s="30" t="str">
        <f>IF('02_Base_Solicitudes'!A55="","",'02_Base_Solicitudes'!A55)</f>
        <v/>
      </c>
      <c r="C57" s="23" t="str">
        <f>IF('02_Base_Solicitudes'!A55="","",'02_Base_Solicitudes'!C55)</f>
        <v/>
      </c>
      <c r="D57" s="23" t="str">
        <f>IF('02_Base_Solicitudes'!A55="","",'02_Base_Solicitudes'!D55)</f>
        <v/>
      </c>
      <c r="E57" s="23" t="str">
        <f>IF('02_Base_Solicitudes'!A55="","",'02_Base_Solicitudes'!E55)</f>
        <v/>
      </c>
      <c r="F57" s="23" t="str">
        <f>IF('02_Base_Solicitudes'!A55="","",'02_Base_Solicitudes'!G55)</f>
        <v/>
      </c>
      <c r="G57" s="23" t="str">
        <f>IF('02_Base_Solicitudes'!A55="","",'02_Base_Solicitudes'!H55)</f>
        <v/>
      </c>
      <c r="H57" s="32" t="str">
        <f>IF('02_Base_Solicitudes'!A55="","",'02_Base_Solicitudes'!I55)</f>
        <v/>
      </c>
      <c r="I57" s="30" t="str">
        <f>IF('02_Base_Solicitudes'!A55="","",'02_Base_Solicitudes'!J55)</f>
        <v/>
      </c>
      <c r="J57" s="23" t="str">
        <f>IF('02_Base_Solicitudes'!A55="","",'02_Base_Solicitudes'!M55)</f>
        <v/>
      </c>
      <c r="K57" s="33" t="str">
        <f>IF('02_Base_Solicitudes'!A55="","",'02_Base_Solicitudes'!K55)</f>
        <v/>
      </c>
      <c r="L57" s="19" t="str">
        <f t="shared" si="8"/>
        <v/>
      </c>
      <c r="M57" s="19"/>
      <c r="N57" s="34" t="str">
        <f t="shared" si="9"/>
        <v/>
      </c>
      <c r="O57" s="19"/>
      <c r="P57" s="34"/>
      <c r="Q57" s="19"/>
      <c r="R57" s="34"/>
      <c r="S57" s="19"/>
      <c r="T57" s="19"/>
      <c r="U57" s="19"/>
      <c r="V57" s="19"/>
      <c r="W57" s="34" t="str">
        <f t="shared" si="15"/>
        <v/>
      </c>
      <c r="X57" s="19"/>
      <c r="Y57" s="34"/>
      <c r="Z57" s="19"/>
      <c r="AA57" s="34"/>
      <c r="AB57" s="34"/>
      <c r="AC57" s="34" t="str">
        <f t="shared" si="10"/>
        <v/>
      </c>
      <c r="AD57" s="19"/>
      <c r="AE57" s="19"/>
      <c r="AF57" s="34" t="str">
        <f>OTMaestraTable[[#This Row],[Solicitante]]</f>
        <v/>
      </c>
      <c r="AG57" s="19"/>
      <c r="AH57" s="19" t="str">
        <f t="shared" si="11"/>
        <v/>
      </c>
      <c r="AI57" s="30" t="str">
        <f t="shared" si="12"/>
        <v/>
      </c>
      <c r="AJ57" s="30" t="str">
        <f t="shared" si="13"/>
        <v/>
      </c>
      <c r="AK57" s="30" t="str">
        <f t="shared" si="14"/>
        <v/>
      </c>
      <c r="AL57" s="19"/>
    </row>
    <row r="58" spans="1:38">
      <c r="A58" s="23" t="str">
        <f>IF('02_Base_Solicitudes'!A56="","",'02_Base_Solicitudes'!R56)</f>
        <v/>
      </c>
      <c r="B58" s="30" t="str">
        <f>IF('02_Base_Solicitudes'!A56="","",'02_Base_Solicitudes'!A56)</f>
        <v/>
      </c>
      <c r="C58" s="23" t="str">
        <f>IF('02_Base_Solicitudes'!A56="","",'02_Base_Solicitudes'!C56)</f>
        <v/>
      </c>
      <c r="D58" s="23" t="str">
        <f>IF('02_Base_Solicitudes'!A56="","",'02_Base_Solicitudes'!D56)</f>
        <v/>
      </c>
      <c r="E58" s="23" t="str">
        <f>IF('02_Base_Solicitudes'!A56="","",'02_Base_Solicitudes'!E56)</f>
        <v/>
      </c>
      <c r="F58" s="23" t="str">
        <f>IF('02_Base_Solicitudes'!A56="","",'02_Base_Solicitudes'!G56)</f>
        <v/>
      </c>
      <c r="G58" s="23" t="str">
        <f>IF('02_Base_Solicitudes'!A56="","",'02_Base_Solicitudes'!H56)</f>
        <v/>
      </c>
      <c r="H58" s="32" t="str">
        <f>IF('02_Base_Solicitudes'!A56="","",'02_Base_Solicitudes'!I56)</f>
        <v/>
      </c>
      <c r="I58" s="30" t="str">
        <f>IF('02_Base_Solicitudes'!A56="","",'02_Base_Solicitudes'!J56)</f>
        <v/>
      </c>
      <c r="J58" s="23" t="str">
        <f>IF('02_Base_Solicitudes'!A56="","",'02_Base_Solicitudes'!M56)</f>
        <v/>
      </c>
      <c r="K58" s="33" t="str">
        <f>IF('02_Base_Solicitudes'!A56="","",'02_Base_Solicitudes'!K56)</f>
        <v/>
      </c>
      <c r="L58" s="19" t="str">
        <f t="shared" si="8"/>
        <v/>
      </c>
      <c r="M58" s="19"/>
      <c r="N58" s="34" t="str">
        <f t="shared" si="9"/>
        <v/>
      </c>
      <c r="O58" s="19"/>
      <c r="P58" s="34"/>
      <c r="Q58" s="19"/>
      <c r="R58" s="34"/>
      <c r="S58" s="19"/>
      <c r="T58" s="19"/>
      <c r="U58" s="19"/>
      <c r="V58" s="19"/>
      <c r="W58" s="34" t="str">
        <f t="shared" si="15"/>
        <v/>
      </c>
      <c r="X58" s="19"/>
      <c r="Y58" s="34"/>
      <c r="Z58" s="19"/>
      <c r="AA58" s="34"/>
      <c r="AB58" s="34"/>
      <c r="AC58" s="34" t="str">
        <f t="shared" si="10"/>
        <v/>
      </c>
      <c r="AD58" s="19"/>
      <c r="AE58" s="19"/>
      <c r="AF58" s="34" t="str">
        <f>OTMaestraTable[[#This Row],[Solicitante]]</f>
        <v/>
      </c>
      <c r="AG58" s="19"/>
      <c r="AH58" s="19" t="str">
        <f t="shared" si="11"/>
        <v/>
      </c>
      <c r="AI58" s="30" t="str">
        <f t="shared" si="12"/>
        <v/>
      </c>
      <c r="AJ58" s="30" t="str">
        <f t="shared" si="13"/>
        <v/>
      </c>
      <c r="AK58" s="30" t="str">
        <f t="shared" si="14"/>
        <v/>
      </c>
      <c r="AL58" s="19"/>
    </row>
    <row r="59" spans="1:38">
      <c r="A59" s="23" t="str">
        <f>IF('02_Base_Solicitudes'!A57="","",'02_Base_Solicitudes'!R57)</f>
        <v/>
      </c>
      <c r="B59" s="30" t="str">
        <f>IF('02_Base_Solicitudes'!A57="","",'02_Base_Solicitudes'!A57)</f>
        <v/>
      </c>
      <c r="C59" s="23" t="str">
        <f>IF('02_Base_Solicitudes'!A57="","",'02_Base_Solicitudes'!C57)</f>
        <v/>
      </c>
      <c r="D59" s="23" t="str">
        <f>IF('02_Base_Solicitudes'!A57="","",'02_Base_Solicitudes'!D57)</f>
        <v/>
      </c>
      <c r="E59" s="23" t="str">
        <f>IF('02_Base_Solicitudes'!A57="","",'02_Base_Solicitudes'!E57)</f>
        <v/>
      </c>
      <c r="F59" s="23" t="str">
        <f>IF('02_Base_Solicitudes'!A57="","",'02_Base_Solicitudes'!G57)</f>
        <v/>
      </c>
      <c r="G59" s="23" t="str">
        <f>IF('02_Base_Solicitudes'!A57="","",'02_Base_Solicitudes'!H57)</f>
        <v/>
      </c>
      <c r="H59" s="32" t="str">
        <f>IF('02_Base_Solicitudes'!A57="","",'02_Base_Solicitudes'!I57)</f>
        <v/>
      </c>
      <c r="I59" s="30" t="str">
        <f>IF('02_Base_Solicitudes'!A57="","",'02_Base_Solicitudes'!J57)</f>
        <v/>
      </c>
      <c r="J59" s="23" t="str">
        <f>IF('02_Base_Solicitudes'!A57="","",'02_Base_Solicitudes'!M57)</f>
        <v/>
      </c>
      <c r="K59" s="33" t="str">
        <f>IF('02_Base_Solicitudes'!A57="","",'02_Base_Solicitudes'!K57)</f>
        <v/>
      </c>
      <c r="L59" s="19" t="str">
        <f t="shared" si="8"/>
        <v/>
      </c>
      <c r="M59" s="19"/>
      <c r="N59" s="34" t="str">
        <f t="shared" si="9"/>
        <v/>
      </c>
      <c r="O59" s="19"/>
      <c r="P59" s="34"/>
      <c r="Q59" s="19"/>
      <c r="R59" s="34"/>
      <c r="S59" s="19"/>
      <c r="T59" s="19"/>
      <c r="U59" s="19"/>
      <c r="V59" s="19"/>
      <c r="W59" s="34" t="str">
        <f t="shared" si="15"/>
        <v/>
      </c>
      <c r="X59" s="19"/>
      <c r="Y59" s="34"/>
      <c r="Z59" s="19"/>
      <c r="AA59" s="34"/>
      <c r="AB59" s="34"/>
      <c r="AC59" s="34" t="str">
        <f t="shared" si="10"/>
        <v/>
      </c>
      <c r="AD59" s="19"/>
      <c r="AE59" s="19"/>
      <c r="AF59" s="34" t="str">
        <f>OTMaestraTable[[#This Row],[Solicitante]]</f>
        <v/>
      </c>
      <c r="AG59" s="19"/>
      <c r="AH59" s="19" t="str">
        <f t="shared" si="11"/>
        <v/>
      </c>
      <c r="AI59" s="30" t="str">
        <f t="shared" si="12"/>
        <v/>
      </c>
      <c r="AJ59" s="30" t="str">
        <f t="shared" si="13"/>
        <v/>
      </c>
      <c r="AK59" s="30" t="str">
        <f t="shared" si="14"/>
        <v/>
      </c>
      <c r="AL59" s="19"/>
    </row>
    <row r="60" spans="1:38">
      <c r="A60" s="23" t="str">
        <f>IF('02_Base_Solicitudes'!A58="","",'02_Base_Solicitudes'!R58)</f>
        <v/>
      </c>
      <c r="B60" s="30" t="str">
        <f>IF('02_Base_Solicitudes'!A58="","",'02_Base_Solicitudes'!A58)</f>
        <v/>
      </c>
      <c r="C60" s="23" t="str">
        <f>IF('02_Base_Solicitudes'!A58="","",'02_Base_Solicitudes'!C58)</f>
        <v/>
      </c>
      <c r="D60" s="23" t="str">
        <f>IF('02_Base_Solicitudes'!A58="","",'02_Base_Solicitudes'!D58)</f>
        <v/>
      </c>
      <c r="E60" s="23" t="str">
        <f>IF('02_Base_Solicitudes'!A58="","",'02_Base_Solicitudes'!E58)</f>
        <v/>
      </c>
      <c r="F60" s="23" t="str">
        <f>IF('02_Base_Solicitudes'!A58="","",'02_Base_Solicitudes'!G58)</f>
        <v/>
      </c>
      <c r="G60" s="23" t="str">
        <f>IF('02_Base_Solicitudes'!A58="","",'02_Base_Solicitudes'!H58)</f>
        <v/>
      </c>
      <c r="H60" s="32" t="str">
        <f>IF('02_Base_Solicitudes'!A58="","",'02_Base_Solicitudes'!I58)</f>
        <v/>
      </c>
      <c r="I60" s="30" t="str">
        <f>IF('02_Base_Solicitudes'!A58="","",'02_Base_Solicitudes'!J58)</f>
        <v/>
      </c>
      <c r="J60" s="23" t="str">
        <f>IF('02_Base_Solicitudes'!A58="","",'02_Base_Solicitudes'!M58)</f>
        <v/>
      </c>
      <c r="K60" s="33" t="str">
        <f>IF('02_Base_Solicitudes'!A58="","",'02_Base_Solicitudes'!K58)</f>
        <v/>
      </c>
      <c r="L60" s="19" t="str">
        <f t="shared" si="8"/>
        <v/>
      </c>
      <c r="M60" s="19"/>
      <c r="N60" s="34" t="str">
        <f t="shared" si="9"/>
        <v/>
      </c>
      <c r="O60" s="19"/>
      <c r="P60" s="34"/>
      <c r="Q60" s="19"/>
      <c r="R60" s="34"/>
      <c r="S60" s="19"/>
      <c r="T60" s="19"/>
      <c r="U60" s="19"/>
      <c r="V60" s="19"/>
      <c r="W60" s="34" t="str">
        <f t="shared" si="15"/>
        <v/>
      </c>
      <c r="X60" s="19"/>
      <c r="Y60" s="34"/>
      <c r="Z60" s="19"/>
      <c r="AA60" s="34"/>
      <c r="AB60" s="34"/>
      <c r="AC60" s="34" t="str">
        <f t="shared" si="10"/>
        <v/>
      </c>
      <c r="AD60" s="19"/>
      <c r="AE60" s="19"/>
      <c r="AF60" s="34" t="str">
        <f>OTMaestraTable[[#This Row],[Solicitante]]</f>
        <v/>
      </c>
      <c r="AG60" s="19"/>
      <c r="AH60" s="19" t="str">
        <f t="shared" si="11"/>
        <v/>
      </c>
      <c r="AI60" s="30" t="str">
        <f t="shared" si="12"/>
        <v/>
      </c>
      <c r="AJ60" s="30" t="str">
        <f t="shared" si="13"/>
        <v/>
      </c>
      <c r="AK60" s="30" t="str">
        <f t="shared" si="14"/>
        <v/>
      </c>
      <c r="AL60" s="19"/>
    </row>
    <row r="61" spans="1:38">
      <c r="A61" s="23" t="str">
        <f>IF('02_Base_Solicitudes'!A59="","",'02_Base_Solicitudes'!R59)</f>
        <v/>
      </c>
      <c r="B61" s="30" t="str">
        <f>IF('02_Base_Solicitudes'!A59="","",'02_Base_Solicitudes'!A59)</f>
        <v/>
      </c>
      <c r="C61" s="23" t="str">
        <f>IF('02_Base_Solicitudes'!A59="","",'02_Base_Solicitudes'!C59)</f>
        <v/>
      </c>
      <c r="D61" s="23" t="str">
        <f>IF('02_Base_Solicitudes'!A59="","",'02_Base_Solicitudes'!D59)</f>
        <v/>
      </c>
      <c r="E61" s="23" t="str">
        <f>IF('02_Base_Solicitudes'!A59="","",'02_Base_Solicitudes'!E59)</f>
        <v/>
      </c>
      <c r="F61" s="23" t="str">
        <f>IF('02_Base_Solicitudes'!A59="","",'02_Base_Solicitudes'!G59)</f>
        <v/>
      </c>
      <c r="G61" s="23" t="str">
        <f>IF('02_Base_Solicitudes'!A59="","",'02_Base_Solicitudes'!H59)</f>
        <v/>
      </c>
      <c r="H61" s="32" t="str">
        <f>IF('02_Base_Solicitudes'!A59="","",'02_Base_Solicitudes'!I59)</f>
        <v/>
      </c>
      <c r="I61" s="30" t="str">
        <f>IF('02_Base_Solicitudes'!A59="","",'02_Base_Solicitudes'!J59)</f>
        <v/>
      </c>
      <c r="J61" s="23" t="str">
        <f>IF('02_Base_Solicitudes'!A59="","",'02_Base_Solicitudes'!M59)</f>
        <v/>
      </c>
      <c r="K61" s="33" t="str">
        <f>IF('02_Base_Solicitudes'!A59="","",'02_Base_Solicitudes'!K59)</f>
        <v/>
      </c>
      <c r="L61" s="19" t="str">
        <f t="shared" si="8"/>
        <v/>
      </c>
      <c r="M61" s="19"/>
      <c r="N61" s="34" t="str">
        <f t="shared" si="9"/>
        <v/>
      </c>
      <c r="O61" s="19"/>
      <c r="P61" s="34"/>
      <c r="Q61" s="19"/>
      <c r="R61" s="34"/>
      <c r="S61" s="19"/>
      <c r="T61" s="19"/>
      <c r="U61" s="19"/>
      <c r="V61" s="19"/>
      <c r="W61" s="34" t="str">
        <f t="shared" si="15"/>
        <v/>
      </c>
      <c r="X61" s="19"/>
      <c r="Y61" s="34"/>
      <c r="Z61" s="19"/>
      <c r="AA61" s="34"/>
      <c r="AB61" s="34"/>
      <c r="AC61" s="34" t="str">
        <f t="shared" si="10"/>
        <v/>
      </c>
      <c r="AD61" s="19"/>
      <c r="AE61" s="19"/>
      <c r="AF61" s="34" t="str">
        <f>OTMaestraTable[[#This Row],[Solicitante]]</f>
        <v/>
      </c>
      <c r="AG61" s="19"/>
      <c r="AH61" s="19" t="str">
        <f t="shared" si="11"/>
        <v/>
      </c>
      <c r="AI61" s="30" t="str">
        <f t="shared" si="12"/>
        <v/>
      </c>
      <c r="AJ61" s="30" t="str">
        <f t="shared" si="13"/>
        <v/>
      </c>
      <c r="AK61" s="30" t="str">
        <f t="shared" si="14"/>
        <v/>
      </c>
      <c r="AL61" s="19"/>
    </row>
    <row r="62" spans="1:38">
      <c r="A62" s="23" t="str">
        <f>IF('02_Base_Solicitudes'!A60="","",'02_Base_Solicitudes'!R60)</f>
        <v/>
      </c>
      <c r="B62" s="30" t="str">
        <f>IF('02_Base_Solicitudes'!A60="","",'02_Base_Solicitudes'!A60)</f>
        <v/>
      </c>
      <c r="C62" s="23" t="str">
        <f>IF('02_Base_Solicitudes'!A60="","",'02_Base_Solicitudes'!C60)</f>
        <v/>
      </c>
      <c r="D62" s="23" t="str">
        <f>IF('02_Base_Solicitudes'!A60="","",'02_Base_Solicitudes'!D60)</f>
        <v/>
      </c>
      <c r="E62" s="23" t="str">
        <f>IF('02_Base_Solicitudes'!A60="","",'02_Base_Solicitudes'!E60)</f>
        <v/>
      </c>
      <c r="F62" s="23" t="str">
        <f>IF('02_Base_Solicitudes'!A60="","",'02_Base_Solicitudes'!G60)</f>
        <v/>
      </c>
      <c r="G62" s="23" t="str">
        <f>IF('02_Base_Solicitudes'!A60="","",'02_Base_Solicitudes'!H60)</f>
        <v/>
      </c>
      <c r="H62" s="32" t="str">
        <f>IF('02_Base_Solicitudes'!A60="","",'02_Base_Solicitudes'!I60)</f>
        <v/>
      </c>
      <c r="I62" s="30" t="str">
        <f>IF('02_Base_Solicitudes'!A60="","",'02_Base_Solicitudes'!J60)</f>
        <v/>
      </c>
      <c r="J62" s="23" t="str">
        <f>IF('02_Base_Solicitudes'!A60="","",'02_Base_Solicitudes'!M60)</f>
        <v/>
      </c>
      <c r="K62" s="33" t="str">
        <f>IF('02_Base_Solicitudes'!A60="","",'02_Base_Solicitudes'!K60)</f>
        <v/>
      </c>
      <c r="L62" s="19" t="str">
        <f t="shared" si="8"/>
        <v/>
      </c>
      <c r="M62" s="19"/>
      <c r="N62" s="34" t="str">
        <f t="shared" si="9"/>
        <v/>
      </c>
      <c r="O62" s="19"/>
      <c r="P62" s="34"/>
      <c r="Q62" s="19"/>
      <c r="R62" s="34"/>
      <c r="S62" s="19"/>
      <c r="T62" s="19"/>
      <c r="U62" s="19"/>
      <c r="V62" s="19"/>
      <c r="W62" s="34" t="str">
        <f t="shared" si="15"/>
        <v/>
      </c>
      <c r="X62" s="19"/>
      <c r="Y62" s="34"/>
      <c r="Z62" s="19"/>
      <c r="AA62" s="34"/>
      <c r="AB62" s="34"/>
      <c r="AC62" s="34" t="str">
        <f t="shared" si="10"/>
        <v/>
      </c>
      <c r="AD62" s="19"/>
      <c r="AE62" s="19"/>
      <c r="AF62" s="34" t="str">
        <f>OTMaestraTable[[#This Row],[Solicitante]]</f>
        <v/>
      </c>
      <c r="AG62" s="19"/>
      <c r="AH62" s="19" t="str">
        <f t="shared" si="11"/>
        <v/>
      </c>
      <c r="AI62" s="30" t="str">
        <f t="shared" si="12"/>
        <v/>
      </c>
      <c r="AJ62" s="30" t="str">
        <f t="shared" si="13"/>
        <v/>
      </c>
      <c r="AK62" s="30" t="str">
        <f t="shared" si="14"/>
        <v/>
      </c>
      <c r="AL62" s="19"/>
    </row>
    <row r="63" spans="1:38">
      <c r="A63" s="23" t="str">
        <f>IF('02_Base_Solicitudes'!A61="","",'02_Base_Solicitudes'!R61)</f>
        <v/>
      </c>
      <c r="B63" s="30" t="str">
        <f>IF('02_Base_Solicitudes'!A61="","",'02_Base_Solicitudes'!A61)</f>
        <v/>
      </c>
      <c r="C63" s="23" t="str">
        <f>IF('02_Base_Solicitudes'!A61="","",'02_Base_Solicitudes'!C61)</f>
        <v/>
      </c>
      <c r="D63" s="23" t="str">
        <f>IF('02_Base_Solicitudes'!A61="","",'02_Base_Solicitudes'!D61)</f>
        <v/>
      </c>
      <c r="E63" s="23" t="str">
        <f>IF('02_Base_Solicitudes'!A61="","",'02_Base_Solicitudes'!E61)</f>
        <v/>
      </c>
      <c r="F63" s="23" t="str">
        <f>IF('02_Base_Solicitudes'!A61="","",'02_Base_Solicitudes'!G61)</f>
        <v/>
      </c>
      <c r="G63" s="23" t="str">
        <f>IF('02_Base_Solicitudes'!A61="","",'02_Base_Solicitudes'!H61)</f>
        <v/>
      </c>
      <c r="H63" s="32" t="str">
        <f>IF('02_Base_Solicitudes'!A61="","",'02_Base_Solicitudes'!I61)</f>
        <v/>
      </c>
      <c r="I63" s="30" t="str">
        <f>IF('02_Base_Solicitudes'!A61="","",'02_Base_Solicitudes'!J61)</f>
        <v/>
      </c>
      <c r="J63" s="23" t="str">
        <f>IF('02_Base_Solicitudes'!A61="","",'02_Base_Solicitudes'!M61)</f>
        <v/>
      </c>
      <c r="K63" s="33" t="str">
        <f>IF('02_Base_Solicitudes'!A61="","",'02_Base_Solicitudes'!K61)</f>
        <v/>
      </c>
      <c r="L63" s="19" t="str">
        <f t="shared" si="8"/>
        <v/>
      </c>
      <c r="M63" s="19"/>
      <c r="N63" s="34" t="str">
        <f t="shared" si="9"/>
        <v/>
      </c>
      <c r="O63" s="19"/>
      <c r="P63" s="34"/>
      <c r="Q63" s="19"/>
      <c r="R63" s="34"/>
      <c r="S63" s="19"/>
      <c r="T63" s="19"/>
      <c r="U63" s="19"/>
      <c r="V63" s="19"/>
      <c r="W63" s="34" t="str">
        <f t="shared" si="15"/>
        <v/>
      </c>
      <c r="X63" s="19"/>
      <c r="Y63" s="34"/>
      <c r="Z63" s="19"/>
      <c r="AA63" s="34"/>
      <c r="AB63" s="34"/>
      <c r="AC63" s="34" t="str">
        <f t="shared" si="10"/>
        <v/>
      </c>
      <c r="AD63" s="19"/>
      <c r="AE63" s="19"/>
      <c r="AF63" s="34" t="str">
        <f>OTMaestraTable[[#This Row],[Solicitante]]</f>
        <v/>
      </c>
      <c r="AG63" s="19"/>
      <c r="AH63" s="19" t="str">
        <f t="shared" si="11"/>
        <v/>
      </c>
      <c r="AI63" s="30" t="str">
        <f t="shared" si="12"/>
        <v/>
      </c>
      <c r="AJ63" s="30" t="str">
        <f t="shared" si="13"/>
        <v/>
      </c>
      <c r="AK63" s="30" t="str">
        <f t="shared" si="14"/>
        <v/>
      </c>
      <c r="AL63" s="19"/>
    </row>
    <row r="64" spans="1:38">
      <c r="A64" s="23" t="str">
        <f>IF('02_Base_Solicitudes'!A62="","",'02_Base_Solicitudes'!R62)</f>
        <v/>
      </c>
      <c r="B64" s="30" t="str">
        <f>IF('02_Base_Solicitudes'!A62="","",'02_Base_Solicitudes'!A62)</f>
        <v/>
      </c>
      <c r="C64" s="23" t="str">
        <f>IF('02_Base_Solicitudes'!A62="","",'02_Base_Solicitudes'!C62)</f>
        <v/>
      </c>
      <c r="D64" s="23" t="str">
        <f>IF('02_Base_Solicitudes'!A62="","",'02_Base_Solicitudes'!D62)</f>
        <v/>
      </c>
      <c r="E64" s="23" t="str">
        <f>IF('02_Base_Solicitudes'!A62="","",'02_Base_Solicitudes'!E62)</f>
        <v/>
      </c>
      <c r="F64" s="23" t="str">
        <f>IF('02_Base_Solicitudes'!A62="","",'02_Base_Solicitudes'!G62)</f>
        <v/>
      </c>
      <c r="G64" s="23" t="str">
        <f>IF('02_Base_Solicitudes'!A62="","",'02_Base_Solicitudes'!H62)</f>
        <v/>
      </c>
      <c r="H64" s="32" t="str">
        <f>IF('02_Base_Solicitudes'!A62="","",'02_Base_Solicitudes'!I62)</f>
        <v/>
      </c>
      <c r="I64" s="30" t="str">
        <f>IF('02_Base_Solicitudes'!A62="","",'02_Base_Solicitudes'!J62)</f>
        <v/>
      </c>
      <c r="J64" s="23" t="str">
        <f>IF('02_Base_Solicitudes'!A62="","",'02_Base_Solicitudes'!M62)</f>
        <v/>
      </c>
      <c r="K64" s="33" t="str">
        <f>IF('02_Base_Solicitudes'!A62="","",'02_Base_Solicitudes'!K62)</f>
        <v/>
      </c>
      <c r="L64" s="19" t="str">
        <f t="shared" si="8"/>
        <v/>
      </c>
      <c r="M64" s="19"/>
      <c r="N64" s="34" t="str">
        <f t="shared" si="9"/>
        <v/>
      </c>
      <c r="O64" s="19"/>
      <c r="P64" s="34"/>
      <c r="Q64" s="19"/>
      <c r="R64" s="34"/>
      <c r="S64" s="19"/>
      <c r="T64" s="19"/>
      <c r="U64" s="19"/>
      <c r="V64" s="19"/>
      <c r="W64" s="34" t="str">
        <f t="shared" ref="W64:W83" si="16">IF($A64="","","Pendiente")</f>
        <v/>
      </c>
      <c r="X64" s="19"/>
      <c r="Y64" s="34"/>
      <c r="Z64" s="19"/>
      <c r="AA64" s="34"/>
      <c r="AB64" s="34"/>
      <c r="AC64" s="34" t="str">
        <f t="shared" si="10"/>
        <v/>
      </c>
      <c r="AD64" s="19"/>
      <c r="AE64" s="19"/>
      <c r="AF64" s="34" t="str">
        <f>OTMaestraTable[[#This Row],[Solicitante]]</f>
        <v/>
      </c>
      <c r="AG64" s="19"/>
      <c r="AH64" s="19" t="str">
        <f t="shared" si="11"/>
        <v/>
      </c>
      <c r="AI64" s="30" t="str">
        <f t="shared" si="12"/>
        <v/>
      </c>
      <c r="AJ64" s="30" t="str">
        <f t="shared" si="13"/>
        <v/>
      </c>
      <c r="AK64" s="30" t="str">
        <f t="shared" si="14"/>
        <v/>
      </c>
      <c r="AL64" s="19"/>
    </row>
    <row r="65" spans="1:38">
      <c r="A65" s="23" t="str">
        <f>IF('02_Base_Solicitudes'!A63="","",'02_Base_Solicitudes'!R63)</f>
        <v/>
      </c>
      <c r="B65" s="30" t="str">
        <f>IF('02_Base_Solicitudes'!A63="","",'02_Base_Solicitudes'!A63)</f>
        <v/>
      </c>
      <c r="C65" s="23" t="str">
        <f>IF('02_Base_Solicitudes'!A63="","",'02_Base_Solicitudes'!C63)</f>
        <v/>
      </c>
      <c r="D65" s="23" t="str">
        <f>IF('02_Base_Solicitudes'!A63="","",'02_Base_Solicitudes'!D63)</f>
        <v/>
      </c>
      <c r="E65" s="23" t="str">
        <f>IF('02_Base_Solicitudes'!A63="","",'02_Base_Solicitudes'!E63)</f>
        <v/>
      </c>
      <c r="F65" s="23" t="str">
        <f>IF('02_Base_Solicitudes'!A63="","",'02_Base_Solicitudes'!G63)</f>
        <v/>
      </c>
      <c r="G65" s="23" t="str">
        <f>IF('02_Base_Solicitudes'!A63="","",'02_Base_Solicitudes'!H63)</f>
        <v/>
      </c>
      <c r="H65" s="32" t="str">
        <f>IF('02_Base_Solicitudes'!A63="","",'02_Base_Solicitudes'!I63)</f>
        <v/>
      </c>
      <c r="I65" s="30" t="str">
        <f>IF('02_Base_Solicitudes'!A63="","",'02_Base_Solicitudes'!J63)</f>
        <v/>
      </c>
      <c r="J65" s="23" t="str">
        <f>IF('02_Base_Solicitudes'!A63="","",'02_Base_Solicitudes'!M63)</f>
        <v/>
      </c>
      <c r="K65" s="33" t="str">
        <f>IF('02_Base_Solicitudes'!A63="","",'02_Base_Solicitudes'!K63)</f>
        <v/>
      </c>
      <c r="L65" s="19" t="str">
        <f t="shared" si="8"/>
        <v/>
      </c>
      <c r="M65" s="19"/>
      <c r="N65" s="34" t="str">
        <f t="shared" si="9"/>
        <v/>
      </c>
      <c r="O65" s="19"/>
      <c r="P65" s="34"/>
      <c r="Q65" s="19"/>
      <c r="R65" s="34"/>
      <c r="S65" s="19"/>
      <c r="T65" s="19"/>
      <c r="U65" s="19"/>
      <c r="V65" s="19"/>
      <c r="W65" s="34" t="str">
        <f t="shared" si="16"/>
        <v/>
      </c>
      <c r="X65" s="19"/>
      <c r="Y65" s="34"/>
      <c r="Z65" s="19"/>
      <c r="AA65" s="34"/>
      <c r="AB65" s="34"/>
      <c r="AC65" s="34" t="str">
        <f t="shared" si="10"/>
        <v/>
      </c>
      <c r="AD65" s="19"/>
      <c r="AE65" s="19"/>
      <c r="AF65" s="34" t="str">
        <f>OTMaestraTable[[#This Row],[Solicitante]]</f>
        <v/>
      </c>
      <c r="AG65" s="19"/>
      <c r="AH65" s="19" t="str">
        <f t="shared" si="11"/>
        <v/>
      </c>
      <c r="AI65" s="30" t="str">
        <f t="shared" si="12"/>
        <v/>
      </c>
      <c r="AJ65" s="30" t="str">
        <f t="shared" si="13"/>
        <v/>
      </c>
      <c r="AK65" s="30" t="str">
        <f t="shared" si="14"/>
        <v/>
      </c>
      <c r="AL65" s="19"/>
    </row>
    <row r="66" spans="1:38">
      <c r="A66" s="23" t="str">
        <f>IF('02_Base_Solicitudes'!A64="","",'02_Base_Solicitudes'!R64)</f>
        <v/>
      </c>
      <c r="B66" s="30" t="str">
        <f>IF('02_Base_Solicitudes'!A64="","",'02_Base_Solicitudes'!A64)</f>
        <v/>
      </c>
      <c r="C66" s="23" t="str">
        <f>IF('02_Base_Solicitudes'!A64="","",'02_Base_Solicitudes'!C64)</f>
        <v/>
      </c>
      <c r="D66" s="23" t="str">
        <f>IF('02_Base_Solicitudes'!A64="","",'02_Base_Solicitudes'!D64)</f>
        <v/>
      </c>
      <c r="E66" s="23" t="str">
        <f>IF('02_Base_Solicitudes'!A64="","",'02_Base_Solicitudes'!E64)</f>
        <v/>
      </c>
      <c r="F66" s="23" t="str">
        <f>IF('02_Base_Solicitudes'!A64="","",'02_Base_Solicitudes'!G64)</f>
        <v/>
      </c>
      <c r="G66" s="23" t="str">
        <f>IF('02_Base_Solicitudes'!A64="","",'02_Base_Solicitudes'!H64)</f>
        <v/>
      </c>
      <c r="H66" s="32" t="str">
        <f>IF('02_Base_Solicitudes'!A64="","",'02_Base_Solicitudes'!I64)</f>
        <v/>
      </c>
      <c r="I66" s="30" t="str">
        <f>IF('02_Base_Solicitudes'!A64="","",'02_Base_Solicitudes'!J64)</f>
        <v/>
      </c>
      <c r="J66" s="23" t="str">
        <f>IF('02_Base_Solicitudes'!A64="","",'02_Base_Solicitudes'!M64)</f>
        <v/>
      </c>
      <c r="K66" s="33" t="str">
        <f>IF('02_Base_Solicitudes'!A64="","",'02_Base_Solicitudes'!K64)</f>
        <v/>
      </c>
      <c r="L66" s="19" t="str">
        <f t="shared" si="8"/>
        <v/>
      </c>
      <c r="M66" s="19"/>
      <c r="N66" s="34" t="str">
        <f t="shared" si="9"/>
        <v/>
      </c>
      <c r="O66" s="19"/>
      <c r="P66" s="34"/>
      <c r="Q66" s="19"/>
      <c r="R66" s="34"/>
      <c r="S66" s="19"/>
      <c r="T66" s="19"/>
      <c r="U66" s="19"/>
      <c r="V66" s="19"/>
      <c r="W66" s="34" t="str">
        <f t="shared" si="16"/>
        <v/>
      </c>
      <c r="X66" s="19"/>
      <c r="Y66" s="34"/>
      <c r="Z66" s="19"/>
      <c r="AA66" s="34"/>
      <c r="AB66" s="34"/>
      <c r="AC66" s="34" t="str">
        <f t="shared" si="10"/>
        <v/>
      </c>
      <c r="AD66" s="19"/>
      <c r="AE66" s="19"/>
      <c r="AF66" s="34" t="str">
        <f>OTMaestraTable[[#This Row],[Solicitante]]</f>
        <v/>
      </c>
      <c r="AG66" s="19"/>
      <c r="AH66" s="19" t="str">
        <f t="shared" si="11"/>
        <v/>
      </c>
      <c r="AI66" s="30" t="str">
        <f t="shared" si="12"/>
        <v/>
      </c>
      <c r="AJ66" s="30" t="str">
        <f t="shared" si="13"/>
        <v/>
      </c>
      <c r="AK66" s="30" t="str">
        <f t="shared" si="14"/>
        <v/>
      </c>
      <c r="AL66" s="19"/>
    </row>
    <row r="67" spans="1:38">
      <c r="A67" s="23" t="str">
        <f>IF('02_Base_Solicitudes'!A65="","",'02_Base_Solicitudes'!R65)</f>
        <v/>
      </c>
      <c r="B67" s="30" t="str">
        <f>IF('02_Base_Solicitudes'!A65="","",'02_Base_Solicitudes'!A65)</f>
        <v/>
      </c>
      <c r="C67" s="23" t="str">
        <f>IF('02_Base_Solicitudes'!A65="","",'02_Base_Solicitudes'!C65)</f>
        <v/>
      </c>
      <c r="D67" s="23" t="str">
        <f>IF('02_Base_Solicitudes'!A65="","",'02_Base_Solicitudes'!D65)</f>
        <v/>
      </c>
      <c r="E67" s="23" t="str">
        <f>IF('02_Base_Solicitudes'!A65="","",'02_Base_Solicitudes'!E65)</f>
        <v/>
      </c>
      <c r="F67" s="23" t="str">
        <f>IF('02_Base_Solicitudes'!A65="","",'02_Base_Solicitudes'!G65)</f>
        <v/>
      </c>
      <c r="G67" s="23" t="str">
        <f>IF('02_Base_Solicitudes'!A65="","",'02_Base_Solicitudes'!H65)</f>
        <v/>
      </c>
      <c r="H67" s="32" t="str">
        <f>IF('02_Base_Solicitudes'!A65="","",'02_Base_Solicitudes'!I65)</f>
        <v/>
      </c>
      <c r="I67" s="30" t="str">
        <f>IF('02_Base_Solicitudes'!A65="","",'02_Base_Solicitudes'!J65)</f>
        <v/>
      </c>
      <c r="J67" s="23" t="str">
        <f>IF('02_Base_Solicitudes'!A65="","",'02_Base_Solicitudes'!M65)</f>
        <v/>
      </c>
      <c r="K67" s="33" t="str">
        <f>IF('02_Base_Solicitudes'!A65="","",'02_Base_Solicitudes'!K65)</f>
        <v/>
      </c>
      <c r="L67" s="19" t="str">
        <f t="shared" si="8"/>
        <v/>
      </c>
      <c r="M67" s="19"/>
      <c r="N67" s="34" t="str">
        <f t="shared" si="9"/>
        <v/>
      </c>
      <c r="O67" s="19"/>
      <c r="P67" s="34"/>
      <c r="Q67" s="19"/>
      <c r="R67" s="34"/>
      <c r="S67" s="19"/>
      <c r="T67" s="19"/>
      <c r="U67" s="19"/>
      <c r="V67" s="19"/>
      <c r="W67" s="34" t="str">
        <f t="shared" si="16"/>
        <v/>
      </c>
      <c r="X67" s="19"/>
      <c r="Y67" s="34"/>
      <c r="Z67" s="19"/>
      <c r="AA67" s="34"/>
      <c r="AB67" s="34"/>
      <c r="AC67" s="34" t="str">
        <f t="shared" si="10"/>
        <v/>
      </c>
      <c r="AD67" s="19"/>
      <c r="AE67" s="19"/>
      <c r="AF67" s="34" t="str">
        <f>OTMaestraTable[[#This Row],[Solicitante]]</f>
        <v/>
      </c>
      <c r="AG67" s="19"/>
      <c r="AH67" s="19" t="str">
        <f t="shared" si="11"/>
        <v/>
      </c>
      <c r="AI67" s="30" t="str">
        <f t="shared" si="12"/>
        <v/>
      </c>
      <c r="AJ67" s="30" t="str">
        <f t="shared" si="13"/>
        <v/>
      </c>
      <c r="AK67" s="30" t="str">
        <f t="shared" si="14"/>
        <v/>
      </c>
      <c r="AL67" s="19"/>
    </row>
    <row r="68" spans="1:38">
      <c r="A68" s="23" t="str">
        <f>IF('02_Base_Solicitudes'!A66="","",'02_Base_Solicitudes'!R66)</f>
        <v/>
      </c>
      <c r="B68" s="30" t="str">
        <f>IF('02_Base_Solicitudes'!A66="","",'02_Base_Solicitudes'!A66)</f>
        <v/>
      </c>
      <c r="C68" s="23" t="str">
        <f>IF('02_Base_Solicitudes'!A66="","",'02_Base_Solicitudes'!C66)</f>
        <v/>
      </c>
      <c r="D68" s="23" t="str">
        <f>IF('02_Base_Solicitudes'!A66="","",'02_Base_Solicitudes'!D66)</f>
        <v/>
      </c>
      <c r="E68" s="23" t="str">
        <f>IF('02_Base_Solicitudes'!A66="","",'02_Base_Solicitudes'!E66)</f>
        <v/>
      </c>
      <c r="F68" s="23" t="str">
        <f>IF('02_Base_Solicitudes'!A66="","",'02_Base_Solicitudes'!G66)</f>
        <v/>
      </c>
      <c r="G68" s="23" t="str">
        <f>IF('02_Base_Solicitudes'!A66="","",'02_Base_Solicitudes'!H66)</f>
        <v/>
      </c>
      <c r="H68" s="32" t="str">
        <f>IF('02_Base_Solicitudes'!A66="","",'02_Base_Solicitudes'!I66)</f>
        <v/>
      </c>
      <c r="I68" s="30" t="str">
        <f>IF('02_Base_Solicitudes'!A66="","",'02_Base_Solicitudes'!J66)</f>
        <v/>
      </c>
      <c r="J68" s="23" t="str">
        <f>IF('02_Base_Solicitudes'!A66="","",'02_Base_Solicitudes'!M66)</f>
        <v/>
      </c>
      <c r="K68" s="33" t="str">
        <f>IF('02_Base_Solicitudes'!A66="","",'02_Base_Solicitudes'!K66)</f>
        <v/>
      </c>
      <c r="L68" s="19" t="str">
        <f t="shared" ref="L68:L99" si="17">IF($A68="","","Julio Rivera")</f>
        <v/>
      </c>
      <c r="M68" s="19"/>
      <c r="N68" s="34" t="str">
        <f t="shared" ref="N68:N99" si="18">IF($A68="","","No")</f>
        <v/>
      </c>
      <c r="O68" s="19"/>
      <c r="P68" s="34"/>
      <c r="Q68" s="19"/>
      <c r="R68" s="34"/>
      <c r="S68" s="19"/>
      <c r="T68" s="19"/>
      <c r="U68" s="19"/>
      <c r="V68" s="19"/>
      <c r="W68" s="34" t="str">
        <f t="shared" si="16"/>
        <v/>
      </c>
      <c r="X68" s="19"/>
      <c r="Y68" s="34"/>
      <c r="Z68" s="19"/>
      <c r="AA68" s="34"/>
      <c r="AB68" s="34"/>
      <c r="AC68" s="34" t="str">
        <f t="shared" ref="AC68:AC99" si="19">IF($A68="","","Pendiente")</f>
        <v/>
      </c>
      <c r="AD68" s="19"/>
      <c r="AE68" s="19"/>
      <c r="AF68" s="34" t="str">
        <f>OTMaestraTable[[#This Row],[Solicitante]]</f>
        <v/>
      </c>
      <c r="AG68" s="19"/>
      <c r="AH68" s="19" t="str">
        <f t="shared" ref="AH68:AH99" si="20">IF($A68="","","Abierta")</f>
        <v/>
      </c>
      <c r="AI68" s="30" t="str">
        <f t="shared" ref="AI68:AI99" si="21">IF(AND(C68&lt;&gt;"",AG68&lt;&gt;""),AG68-C68,"")</f>
        <v/>
      </c>
      <c r="AJ68" s="30" t="str">
        <f t="shared" ref="AJ68:AJ99" si="22">IF(A68="","",IF(AND(AG68&lt;&gt;"",K68&lt;&gt;""),IF(AG68&lt;=K68,"Sí","No"),"Pendiente"))</f>
        <v/>
      </c>
      <c r="AK68" s="30" t="str">
        <f t="shared" ref="AK68:AK99" si="23">IF(A68="","",IF(AND($AH68="Cerrada",OR($AE68="",$AF68="",$AG68="")),"⚠ Cerrada incompleta",IF(AND($AH68&lt;&gt;"Cerrada",$AG68&lt;&gt;""),"⚠ Fecha cierre con estado abierto","OK")))</f>
        <v/>
      </c>
      <c r="AL68" s="19"/>
    </row>
    <row r="69" spans="1:38">
      <c r="A69" s="23" t="str">
        <f>IF('02_Base_Solicitudes'!A67="","",'02_Base_Solicitudes'!R67)</f>
        <v/>
      </c>
      <c r="B69" s="30" t="str">
        <f>IF('02_Base_Solicitudes'!A67="","",'02_Base_Solicitudes'!A67)</f>
        <v/>
      </c>
      <c r="C69" s="23" t="str">
        <f>IF('02_Base_Solicitudes'!A67="","",'02_Base_Solicitudes'!C67)</f>
        <v/>
      </c>
      <c r="D69" s="23" t="str">
        <f>IF('02_Base_Solicitudes'!A67="","",'02_Base_Solicitudes'!D67)</f>
        <v/>
      </c>
      <c r="E69" s="23" t="str">
        <f>IF('02_Base_Solicitudes'!A67="","",'02_Base_Solicitudes'!E67)</f>
        <v/>
      </c>
      <c r="F69" s="23" t="str">
        <f>IF('02_Base_Solicitudes'!A67="","",'02_Base_Solicitudes'!G67)</f>
        <v/>
      </c>
      <c r="G69" s="23" t="str">
        <f>IF('02_Base_Solicitudes'!A67="","",'02_Base_Solicitudes'!H67)</f>
        <v/>
      </c>
      <c r="H69" s="32" t="str">
        <f>IF('02_Base_Solicitudes'!A67="","",'02_Base_Solicitudes'!I67)</f>
        <v/>
      </c>
      <c r="I69" s="30" t="str">
        <f>IF('02_Base_Solicitudes'!A67="","",'02_Base_Solicitudes'!J67)</f>
        <v/>
      </c>
      <c r="J69" s="23" t="str">
        <f>IF('02_Base_Solicitudes'!A67="","",'02_Base_Solicitudes'!M67)</f>
        <v/>
      </c>
      <c r="K69" s="33" t="str">
        <f>IF('02_Base_Solicitudes'!A67="","",'02_Base_Solicitudes'!K67)</f>
        <v/>
      </c>
      <c r="L69" s="19" t="str">
        <f t="shared" si="17"/>
        <v/>
      </c>
      <c r="M69" s="19"/>
      <c r="N69" s="34" t="str">
        <f t="shared" si="18"/>
        <v/>
      </c>
      <c r="O69" s="19"/>
      <c r="P69" s="34"/>
      <c r="Q69" s="19"/>
      <c r="R69" s="34"/>
      <c r="S69" s="19"/>
      <c r="T69" s="19"/>
      <c r="U69" s="19"/>
      <c r="V69" s="19"/>
      <c r="W69" s="34" t="str">
        <f t="shared" si="16"/>
        <v/>
      </c>
      <c r="X69" s="19"/>
      <c r="Y69" s="34"/>
      <c r="Z69" s="19"/>
      <c r="AA69" s="34"/>
      <c r="AB69" s="34"/>
      <c r="AC69" s="34" t="str">
        <f t="shared" si="19"/>
        <v/>
      </c>
      <c r="AD69" s="19"/>
      <c r="AE69" s="19"/>
      <c r="AF69" s="34" t="str">
        <f>OTMaestraTable[[#This Row],[Solicitante]]</f>
        <v/>
      </c>
      <c r="AG69" s="19"/>
      <c r="AH69" s="19" t="str">
        <f t="shared" si="20"/>
        <v/>
      </c>
      <c r="AI69" s="30" t="str">
        <f t="shared" si="21"/>
        <v/>
      </c>
      <c r="AJ69" s="30" t="str">
        <f t="shared" si="22"/>
        <v/>
      </c>
      <c r="AK69" s="30" t="str">
        <f t="shared" si="23"/>
        <v/>
      </c>
      <c r="AL69" s="19"/>
    </row>
    <row r="70" spans="1:38">
      <c r="A70" s="23" t="str">
        <f>IF('02_Base_Solicitudes'!A68="","",'02_Base_Solicitudes'!R68)</f>
        <v/>
      </c>
      <c r="B70" s="30" t="str">
        <f>IF('02_Base_Solicitudes'!A68="","",'02_Base_Solicitudes'!A68)</f>
        <v/>
      </c>
      <c r="C70" s="23" t="str">
        <f>IF('02_Base_Solicitudes'!A68="","",'02_Base_Solicitudes'!C68)</f>
        <v/>
      </c>
      <c r="D70" s="23" t="str">
        <f>IF('02_Base_Solicitudes'!A68="","",'02_Base_Solicitudes'!D68)</f>
        <v/>
      </c>
      <c r="E70" s="23" t="str">
        <f>IF('02_Base_Solicitudes'!A68="","",'02_Base_Solicitudes'!E68)</f>
        <v/>
      </c>
      <c r="F70" s="23" t="str">
        <f>IF('02_Base_Solicitudes'!A68="","",'02_Base_Solicitudes'!G68)</f>
        <v/>
      </c>
      <c r="G70" s="23" t="str">
        <f>IF('02_Base_Solicitudes'!A68="","",'02_Base_Solicitudes'!H68)</f>
        <v/>
      </c>
      <c r="H70" s="32" t="str">
        <f>IF('02_Base_Solicitudes'!A68="","",'02_Base_Solicitudes'!I68)</f>
        <v/>
      </c>
      <c r="I70" s="30" t="str">
        <f>IF('02_Base_Solicitudes'!A68="","",'02_Base_Solicitudes'!J68)</f>
        <v/>
      </c>
      <c r="J70" s="23" t="str">
        <f>IF('02_Base_Solicitudes'!A68="","",'02_Base_Solicitudes'!M68)</f>
        <v/>
      </c>
      <c r="K70" s="33" t="str">
        <f>IF('02_Base_Solicitudes'!A68="","",'02_Base_Solicitudes'!K68)</f>
        <v/>
      </c>
      <c r="L70" s="19" t="str">
        <f t="shared" si="17"/>
        <v/>
      </c>
      <c r="M70" s="19"/>
      <c r="N70" s="34" t="str">
        <f t="shared" si="18"/>
        <v/>
      </c>
      <c r="O70" s="19"/>
      <c r="P70" s="34"/>
      <c r="Q70" s="19"/>
      <c r="R70" s="34"/>
      <c r="S70" s="19"/>
      <c r="T70" s="19"/>
      <c r="U70" s="19"/>
      <c r="V70" s="19"/>
      <c r="W70" s="34" t="str">
        <f t="shared" si="16"/>
        <v/>
      </c>
      <c r="X70" s="19"/>
      <c r="Y70" s="34"/>
      <c r="Z70" s="19"/>
      <c r="AA70" s="34"/>
      <c r="AB70" s="34"/>
      <c r="AC70" s="34" t="str">
        <f t="shared" si="19"/>
        <v/>
      </c>
      <c r="AD70" s="19"/>
      <c r="AE70" s="19"/>
      <c r="AF70" s="34" t="str">
        <f>OTMaestraTable[[#This Row],[Solicitante]]</f>
        <v/>
      </c>
      <c r="AG70" s="19"/>
      <c r="AH70" s="19" t="str">
        <f t="shared" si="20"/>
        <v/>
      </c>
      <c r="AI70" s="30" t="str">
        <f t="shared" si="21"/>
        <v/>
      </c>
      <c r="AJ70" s="30" t="str">
        <f t="shared" si="22"/>
        <v/>
      </c>
      <c r="AK70" s="30" t="str">
        <f t="shared" si="23"/>
        <v/>
      </c>
      <c r="AL70" s="19"/>
    </row>
    <row r="71" spans="1:38">
      <c r="A71" s="23" t="str">
        <f>IF('02_Base_Solicitudes'!A69="","",'02_Base_Solicitudes'!R69)</f>
        <v/>
      </c>
      <c r="B71" s="30" t="str">
        <f>IF('02_Base_Solicitudes'!A69="","",'02_Base_Solicitudes'!A69)</f>
        <v/>
      </c>
      <c r="C71" s="23" t="str">
        <f>IF('02_Base_Solicitudes'!A69="","",'02_Base_Solicitudes'!C69)</f>
        <v/>
      </c>
      <c r="D71" s="23" t="str">
        <f>IF('02_Base_Solicitudes'!A69="","",'02_Base_Solicitudes'!D69)</f>
        <v/>
      </c>
      <c r="E71" s="23" t="str">
        <f>IF('02_Base_Solicitudes'!A69="","",'02_Base_Solicitudes'!E69)</f>
        <v/>
      </c>
      <c r="F71" s="23" t="str">
        <f>IF('02_Base_Solicitudes'!A69="","",'02_Base_Solicitudes'!G69)</f>
        <v/>
      </c>
      <c r="G71" s="23" t="str">
        <f>IF('02_Base_Solicitudes'!A69="","",'02_Base_Solicitudes'!H69)</f>
        <v/>
      </c>
      <c r="H71" s="32" t="str">
        <f>IF('02_Base_Solicitudes'!A69="","",'02_Base_Solicitudes'!I69)</f>
        <v/>
      </c>
      <c r="I71" s="30" t="str">
        <f>IF('02_Base_Solicitudes'!A69="","",'02_Base_Solicitudes'!J69)</f>
        <v/>
      </c>
      <c r="J71" s="23" t="str">
        <f>IF('02_Base_Solicitudes'!A69="","",'02_Base_Solicitudes'!M69)</f>
        <v/>
      </c>
      <c r="K71" s="33" t="str">
        <f>IF('02_Base_Solicitudes'!A69="","",'02_Base_Solicitudes'!K69)</f>
        <v/>
      </c>
      <c r="L71" s="19" t="str">
        <f t="shared" si="17"/>
        <v/>
      </c>
      <c r="M71" s="19"/>
      <c r="N71" s="34" t="str">
        <f t="shared" si="18"/>
        <v/>
      </c>
      <c r="O71" s="19"/>
      <c r="P71" s="34"/>
      <c r="Q71" s="19"/>
      <c r="R71" s="34"/>
      <c r="S71" s="19"/>
      <c r="T71" s="19"/>
      <c r="U71" s="19"/>
      <c r="V71" s="19"/>
      <c r="W71" s="34" t="str">
        <f t="shared" si="16"/>
        <v/>
      </c>
      <c r="X71" s="19"/>
      <c r="Y71" s="34"/>
      <c r="Z71" s="19"/>
      <c r="AA71" s="34"/>
      <c r="AB71" s="34"/>
      <c r="AC71" s="34" t="str">
        <f t="shared" si="19"/>
        <v/>
      </c>
      <c r="AD71" s="19"/>
      <c r="AE71" s="19"/>
      <c r="AF71" s="34" t="str">
        <f>OTMaestraTable[[#This Row],[Solicitante]]</f>
        <v/>
      </c>
      <c r="AG71" s="19"/>
      <c r="AH71" s="19" t="str">
        <f t="shared" si="20"/>
        <v/>
      </c>
      <c r="AI71" s="30" t="str">
        <f t="shared" si="21"/>
        <v/>
      </c>
      <c r="AJ71" s="30" t="str">
        <f t="shared" si="22"/>
        <v/>
      </c>
      <c r="AK71" s="30" t="str">
        <f t="shared" si="23"/>
        <v/>
      </c>
      <c r="AL71" s="19"/>
    </row>
    <row r="72" spans="1:38">
      <c r="A72" s="23" t="str">
        <f>IF('02_Base_Solicitudes'!A70="","",'02_Base_Solicitudes'!R70)</f>
        <v/>
      </c>
      <c r="B72" s="30" t="str">
        <f>IF('02_Base_Solicitudes'!A70="","",'02_Base_Solicitudes'!A70)</f>
        <v/>
      </c>
      <c r="C72" s="23" t="str">
        <f>IF('02_Base_Solicitudes'!A70="","",'02_Base_Solicitudes'!C70)</f>
        <v/>
      </c>
      <c r="D72" s="23" t="str">
        <f>IF('02_Base_Solicitudes'!A70="","",'02_Base_Solicitudes'!D70)</f>
        <v/>
      </c>
      <c r="E72" s="23" t="str">
        <f>IF('02_Base_Solicitudes'!A70="","",'02_Base_Solicitudes'!E70)</f>
        <v/>
      </c>
      <c r="F72" s="23" t="str">
        <f>IF('02_Base_Solicitudes'!A70="","",'02_Base_Solicitudes'!G70)</f>
        <v/>
      </c>
      <c r="G72" s="23" t="str">
        <f>IF('02_Base_Solicitudes'!A70="","",'02_Base_Solicitudes'!H70)</f>
        <v/>
      </c>
      <c r="H72" s="32" t="str">
        <f>IF('02_Base_Solicitudes'!A70="","",'02_Base_Solicitudes'!I70)</f>
        <v/>
      </c>
      <c r="I72" s="30" t="str">
        <f>IF('02_Base_Solicitudes'!A70="","",'02_Base_Solicitudes'!J70)</f>
        <v/>
      </c>
      <c r="J72" s="23" t="str">
        <f>IF('02_Base_Solicitudes'!A70="","",'02_Base_Solicitudes'!M70)</f>
        <v/>
      </c>
      <c r="K72" s="33" t="str">
        <f>IF('02_Base_Solicitudes'!A70="","",'02_Base_Solicitudes'!K70)</f>
        <v/>
      </c>
      <c r="L72" s="19" t="str">
        <f t="shared" si="17"/>
        <v/>
      </c>
      <c r="M72" s="19"/>
      <c r="N72" s="34" t="str">
        <f t="shared" si="18"/>
        <v/>
      </c>
      <c r="O72" s="19"/>
      <c r="P72" s="34"/>
      <c r="Q72" s="19"/>
      <c r="R72" s="34"/>
      <c r="S72" s="19"/>
      <c r="T72" s="19"/>
      <c r="U72" s="19"/>
      <c r="V72" s="19"/>
      <c r="W72" s="34" t="str">
        <f t="shared" si="16"/>
        <v/>
      </c>
      <c r="X72" s="19"/>
      <c r="Y72" s="34"/>
      <c r="Z72" s="19"/>
      <c r="AA72" s="34"/>
      <c r="AB72" s="34"/>
      <c r="AC72" s="34" t="str">
        <f t="shared" si="19"/>
        <v/>
      </c>
      <c r="AD72" s="19"/>
      <c r="AE72" s="19"/>
      <c r="AF72" s="34" t="str">
        <f>OTMaestraTable[[#This Row],[Solicitante]]</f>
        <v/>
      </c>
      <c r="AG72" s="19"/>
      <c r="AH72" s="19" t="str">
        <f t="shared" si="20"/>
        <v/>
      </c>
      <c r="AI72" s="30" t="str">
        <f t="shared" si="21"/>
        <v/>
      </c>
      <c r="AJ72" s="30" t="str">
        <f t="shared" si="22"/>
        <v/>
      </c>
      <c r="AK72" s="30" t="str">
        <f t="shared" si="23"/>
        <v/>
      </c>
      <c r="AL72" s="19"/>
    </row>
    <row r="73" spans="1:38">
      <c r="A73" s="23" t="str">
        <f>IF('02_Base_Solicitudes'!A71="","",'02_Base_Solicitudes'!R71)</f>
        <v/>
      </c>
      <c r="B73" s="30" t="str">
        <f>IF('02_Base_Solicitudes'!A71="","",'02_Base_Solicitudes'!A71)</f>
        <v/>
      </c>
      <c r="C73" s="23" t="str">
        <f>IF('02_Base_Solicitudes'!A71="","",'02_Base_Solicitudes'!C71)</f>
        <v/>
      </c>
      <c r="D73" s="23" t="str">
        <f>IF('02_Base_Solicitudes'!A71="","",'02_Base_Solicitudes'!D71)</f>
        <v/>
      </c>
      <c r="E73" s="23" t="str">
        <f>IF('02_Base_Solicitudes'!A71="","",'02_Base_Solicitudes'!E71)</f>
        <v/>
      </c>
      <c r="F73" s="23" t="str">
        <f>IF('02_Base_Solicitudes'!A71="","",'02_Base_Solicitudes'!G71)</f>
        <v/>
      </c>
      <c r="G73" s="23" t="str">
        <f>IF('02_Base_Solicitudes'!A71="","",'02_Base_Solicitudes'!H71)</f>
        <v/>
      </c>
      <c r="H73" s="32" t="str">
        <f>IF('02_Base_Solicitudes'!A71="","",'02_Base_Solicitudes'!I71)</f>
        <v/>
      </c>
      <c r="I73" s="30" t="str">
        <f>IF('02_Base_Solicitudes'!A71="","",'02_Base_Solicitudes'!J71)</f>
        <v/>
      </c>
      <c r="J73" s="23" t="str">
        <f>IF('02_Base_Solicitudes'!A71="","",'02_Base_Solicitudes'!M71)</f>
        <v/>
      </c>
      <c r="K73" s="33" t="str">
        <f>IF('02_Base_Solicitudes'!A71="","",'02_Base_Solicitudes'!K71)</f>
        <v/>
      </c>
      <c r="L73" s="19" t="str">
        <f t="shared" si="17"/>
        <v/>
      </c>
      <c r="M73" s="19"/>
      <c r="N73" s="34" t="str">
        <f t="shared" si="18"/>
        <v/>
      </c>
      <c r="O73" s="19"/>
      <c r="P73" s="34"/>
      <c r="Q73" s="19"/>
      <c r="R73" s="34"/>
      <c r="S73" s="19"/>
      <c r="T73" s="19"/>
      <c r="U73" s="19"/>
      <c r="V73" s="19"/>
      <c r="W73" s="34" t="str">
        <f t="shared" si="16"/>
        <v/>
      </c>
      <c r="X73" s="19"/>
      <c r="Y73" s="34"/>
      <c r="Z73" s="19"/>
      <c r="AA73" s="34"/>
      <c r="AB73" s="34"/>
      <c r="AC73" s="34" t="str">
        <f t="shared" si="19"/>
        <v/>
      </c>
      <c r="AD73" s="19"/>
      <c r="AE73" s="19"/>
      <c r="AF73" s="34" t="str">
        <f>OTMaestraTable[[#This Row],[Solicitante]]</f>
        <v/>
      </c>
      <c r="AG73" s="19"/>
      <c r="AH73" s="19" t="str">
        <f t="shared" si="20"/>
        <v/>
      </c>
      <c r="AI73" s="30" t="str">
        <f t="shared" si="21"/>
        <v/>
      </c>
      <c r="AJ73" s="30" t="str">
        <f t="shared" si="22"/>
        <v/>
      </c>
      <c r="AK73" s="30" t="str">
        <f t="shared" si="23"/>
        <v/>
      </c>
      <c r="AL73" s="19"/>
    </row>
    <row r="74" spans="1:38">
      <c r="A74" s="23" t="str">
        <f>IF('02_Base_Solicitudes'!A72="","",'02_Base_Solicitudes'!R72)</f>
        <v/>
      </c>
      <c r="B74" s="30" t="str">
        <f>IF('02_Base_Solicitudes'!A72="","",'02_Base_Solicitudes'!A72)</f>
        <v/>
      </c>
      <c r="C74" s="23" t="str">
        <f>IF('02_Base_Solicitudes'!A72="","",'02_Base_Solicitudes'!C72)</f>
        <v/>
      </c>
      <c r="D74" s="23" t="str">
        <f>IF('02_Base_Solicitudes'!A72="","",'02_Base_Solicitudes'!D72)</f>
        <v/>
      </c>
      <c r="E74" s="23" t="str">
        <f>IF('02_Base_Solicitudes'!A72="","",'02_Base_Solicitudes'!E72)</f>
        <v/>
      </c>
      <c r="F74" s="23" t="str">
        <f>IF('02_Base_Solicitudes'!A72="","",'02_Base_Solicitudes'!G72)</f>
        <v/>
      </c>
      <c r="G74" s="23" t="str">
        <f>IF('02_Base_Solicitudes'!A72="","",'02_Base_Solicitudes'!H72)</f>
        <v/>
      </c>
      <c r="H74" s="32" t="str">
        <f>IF('02_Base_Solicitudes'!A72="","",'02_Base_Solicitudes'!I72)</f>
        <v/>
      </c>
      <c r="I74" s="30" t="str">
        <f>IF('02_Base_Solicitudes'!A72="","",'02_Base_Solicitudes'!J72)</f>
        <v/>
      </c>
      <c r="J74" s="23" t="str">
        <f>IF('02_Base_Solicitudes'!A72="","",'02_Base_Solicitudes'!M72)</f>
        <v/>
      </c>
      <c r="K74" s="33" t="str">
        <f>IF('02_Base_Solicitudes'!A72="","",'02_Base_Solicitudes'!K72)</f>
        <v/>
      </c>
      <c r="L74" s="19" t="str">
        <f t="shared" si="17"/>
        <v/>
      </c>
      <c r="M74" s="19"/>
      <c r="N74" s="34" t="str">
        <f t="shared" si="18"/>
        <v/>
      </c>
      <c r="O74" s="19"/>
      <c r="P74" s="34"/>
      <c r="Q74" s="19"/>
      <c r="R74" s="34"/>
      <c r="S74" s="19"/>
      <c r="T74" s="19"/>
      <c r="U74" s="19"/>
      <c r="V74" s="19"/>
      <c r="W74" s="34" t="str">
        <f t="shared" si="16"/>
        <v/>
      </c>
      <c r="X74" s="19"/>
      <c r="Y74" s="34"/>
      <c r="Z74" s="19"/>
      <c r="AA74" s="34"/>
      <c r="AB74" s="34"/>
      <c r="AC74" s="34" t="str">
        <f t="shared" si="19"/>
        <v/>
      </c>
      <c r="AD74" s="19"/>
      <c r="AE74" s="19"/>
      <c r="AF74" s="34" t="str">
        <f>OTMaestraTable[[#This Row],[Solicitante]]</f>
        <v/>
      </c>
      <c r="AG74" s="19"/>
      <c r="AH74" s="19" t="str">
        <f t="shared" si="20"/>
        <v/>
      </c>
      <c r="AI74" s="30" t="str">
        <f t="shared" si="21"/>
        <v/>
      </c>
      <c r="AJ74" s="30" t="str">
        <f t="shared" si="22"/>
        <v/>
      </c>
      <c r="AK74" s="30" t="str">
        <f t="shared" si="23"/>
        <v/>
      </c>
      <c r="AL74" s="19"/>
    </row>
    <row r="75" spans="1:38">
      <c r="A75" s="23" t="str">
        <f>IF('02_Base_Solicitudes'!A73="","",'02_Base_Solicitudes'!R73)</f>
        <v/>
      </c>
      <c r="B75" s="30" t="str">
        <f>IF('02_Base_Solicitudes'!A73="","",'02_Base_Solicitudes'!A73)</f>
        <v/>
      </c>
      <c r="C75" s="23" t="str">
        <f>IF('02_Base_Solicitudes'!A73="","",'02_Base_Solicitudes'!C73)</f>
        <v/>
      </c>
      <c r="D75" s="23" t="str">
        <f>IF('02_Base_Solicitudes'!A73="","",'02_Base_Solicitudes'!D73)</f>
        <v/>
      </c>
      <c r="E75" s="23" t="str">
        <f>IF('02_Base_Solicitudes'!A73="","",'02_Base_Solicitudes'!E73)</f>
        <v/>
      </c>
      <c r="F75" s="23" t="str">
        <f>IF('02_Base_Solicitudes'!A73="","",'02_Base_Solicitudes'!G73)</f>
        <v/>
      </c>
      <c r="G75" s="23" t="str">
        <f>IF('02_Base_Solicitudes'!A73="","",'02_Base_Solicitudes'!H73)</f>
        <v/>
      </c>
      <c r="H75" s="32" t="str">
        <f>IF('02_Base_Solicitudes'!A73="","",'02_Base_Solicitudes'!I73)</f>
        <v/>
      </c>
      <c r="I75" s="30" t="str">
        <f>IF('02_Base_Solicitudes'!A73="","",'02_Base_Solicitudes'!J73)</f>
        <v/>
      </c>
      <c r="J75" s="23" t="str">
        <f>IF('02_Base_Solicitudes'!A73="","",'02_Base_Solicitudes'!M73)</f>
        <v/>
      </c>
      <c r="K75" s="33" t="str">
        <f>IF('02_Base_Solicitudes'!A73="","",'02_Base_Solicitudes'!K73)</f>
        <v/>
      </c>
      <c r="L75" s="19" t="str">
        <f t="shared" si="17"/>
        <v/>
      </c>
      <c r="M75" s="19"/>
      <c r="N75" s="34" t="str">
        <f t="shared" si="18"/>
        <v/>
      </c>
      <c r="O75" s="19"/>
      <c r="P75" s="34"/>
      <c r="Q75" s="19"/>
      <c r="R75" s="34"/>
      <c r="S75" s="19"/>
      <c r="T75" s="19"/>
      <c r="U75" s="19"/>
      <c r="V75" s="19"/>
      <c r="W75" s="34" t="str">
        <f t="shared" si="16"/>
        <v/>
      </c>
      <c r="X75" s="19"/>
      <c r="Y75" s="34"/>
      <c r="Z75" s="19"/>
      <c r="AA75" s="34"/>
      <c r="AB75" s="34"/>
      <c r="AC75" s="34" t="str">
        <f t="shared" si="19"/>
        <v/>
      </c>
      <c r="AD75" s="19"/>
      <c r="AE75" s="19"/>
      <c r="AF75" s="34" t="str">
        <f>OTMaestraTable[[#This Row],[Solicitante]]</f>
        <v/>
      </c>
      <c r="AG75" s="19"/>
      <c r="AH75" s="19" t="str">
        <f t="shared" si="20"/>
        <v/>
      </c>
      <c r="AI75" s="30" t="str">
        <f t="shared" si="21"/>
        <v/>
      </c>
      <c r="AJ75" s="30" t="str">
        <f t="shared" si="22"/>
        <v/>
      </c>
      <c r="AK75" s="30" t="str">
        <f t="shared" si="23"/>
        <v/>
      </c>
      <c r="AL75" s="19"/>
    </row>
    <row r="76" spans="1:38">
      <c r="A76" s="23" t="str">
        <f>IF('02_Base_Solicitudes'!A74="","",'02_Base_Solicitudes'!R74)</f>
        <v/>
      </c>
      <c r="B76" s="30" t="str">
        <f>IF('02_Base_Solicitudes'!A74="","",'02_Base_Solicitudes'!A74)</f>
        <v/>
      </c>
      <c r="C76" s="23" t="str">
        <f>IF('02_Base_Solicitudes'!A74="","",'02_Base_Solicitudes'!C74)</f>
        <v/>
      </c>
      <c r="D76" s="23" t="str">
        <f>IF('02_Base_Solicitudes'!A74="","",'02_Base_Solicitudes'!D74)</f>
        <v/>
      </c>
      <c r="E76" s="23" t="str">
        <f>IF('02_Base_Solicitudes'!A74="","",'02_Base_Solicitudes'!E74)</f>
        <v/>
      </c>
      <c r="F76" s="23" t="str">
        <f>IF('02_Base_Solicitudes'!A74="","",'02_Base_Solicitudes'!G74)</f>
        <v/>
      </c>
      <c r="G76" s="23" t="str">
        <f>IF('02_Base_Solicitudes'!A74="","",'02_Base_Solicitudes'!H74)</f>
        <v/>
      </c>
      <c r="H76" s="32" t="str">
        <f>IF('02_Base_Solicitudes'!A74="","",'02_Base_Solicitudes'!I74)</f>
        <v/>
      </c>
      <c r="I76" s="30" t="str">
        <f>IF('02_Base_Solicitudes'!A74="","",'02_Base_Solicitudes'!J74)</f>
        <v/>
      </c>
      <c r="J76" s="23" t="str">
        <f>IF('02_Base_Solicitudes'!A74="","",'02_Base_Solicitudes'!M74)</f>
        <v/>
      </c>
      <c r="K76" s="33" t="str">
        <f>IF('02_Base_Solicitudes'!A74="","",'02_Base_Solicitudes'!K74)</f>
        <v/>
      </c>
      <c r="L76" s="19" t="str">
        <f t="shared" si="17"/>
        <v/>
      </c>
      <c r="M76" s="19"/>
      <c r="N76" s="34" t="str">
        <f t="shared" si="18"/>
        <v/>
      </c>
      <c r="O76" s="19"/>
      <c r="P76" s="34"/>
      <c r="Q76" s="19"/>
      <c r="R76" s="34"/>
      <c r="S76" s="19"/>
      <c r="T76" s="19"/>
      <c r="U76" s="19"/>
      <c r="V76" s="19"/>
      <c r="W76" s="34" t="str">
        <f t="shared" si="16"/>
        <v/>
      </c>
      <c r="X76" s="19"/>
      <c r="Y76" s="34"/>
      <c r="Z76" s="19"/>
      <c r="AA76" s="34"/>
      <c r="AB76" s="34"/>
      <c r="AC76" s="34" t="str">
        <f t="shared" si="19"/>
        <v/>
      </c>
      <c r="AD76" s="19"/>
      <c r="AE76" s="19"/>
      <c r="AF76" s="34" t="str">
        <f>OTMaestraTable[[#This Row],[Solicitante]]</f>
        <v/>
      </c>
      <c r="AG76" s="19"/>
      <c r="AH76" s="19" t="str">
        <f t="shared" si="20"/>
        <v/>
      </c>
      <c r="AI76" s="30" t="str">
        <f t="shared" si="21"/>
        <v/>
      </c>
      <c r="AJ76" s="30" t="str">
        <f t="shared" si="22"/>
        <v/>
      </c>
      <c r="AK76" s="30" t="str">
        <f t="shared" si="23"/>
        <v/>
      </c>
      <c r="AL76" s="19"/>
    </row>
    <row r="77" spans="1:38">
      <c r="A77" s="23" t="str">
        <f>IF('02_Base_Solicitudes'!A75="","",'02_Base_Solicitudes'!R75)</f>
        <v/>
      </c>
      <c r="B77" s="30" t="str">
        <f>IF('02_Base_Solicitudes'!A75="","",'02_Base_Solicitudes'!A75)</f>
        <v/>
      </c>
      <c r="C77" s="23" t="str">
        <f>IF('02_Base_Solicitudes'!A75="","",'02_Base_Solicitudes'!C75)</f>
        <v/>
      </c>
      <c r="D77" s="23" t="str">
        <f>IF('02_Base_Solicitudes'!A75="","",'02_Base_Solicitudes'!D75)</f>
        <v/>
      </c>
      <c r="E77" s="23" t="str">
        <f>IF('02_Base_Solicitudes'!A75="","",'02_Base_Solicitudes'!E75)</f>
        <v/>
      </c>
      <c r="F77" s="23" t="str">
        <f>IF('02_Base_Solicitudes'!A75="","",'02_Base_Solicitudes'!G75)</f>
        <v/>
      </c>
      <c r="G77" s="23" t="str">
        <f>IF('02_Base_Solicitudes'!A75="","",'02_Base_Solicitudes'!H75)</f>
        <v/>
      </c>
      <c r="H77" s="32" t="str">
        <f>IF('02_Base_Solicitudes'!A75="","",'02_Base_Solicitudes'!I75)</f>
        <v/>
      </c>
      <c r="I77" s="30" t="str">
        <f>IF('02_Base_Solicitudes'!A75="","",'02_Base_Solicitudes'!J75)</f>
        <v/>
      </c>
      <c r="J77" s="23" t="str">
        <f>IF('02_Base_Solicitudes'!A75="","",'02_Base_Solicitudes'!M75)</f>
        <v/>
      </c>
      <c r="K77" s="33" t="str">
        <f>IF('02_Base_Solicitudes'!A75="","",'02_Base_Solicitudes'!K75)</f>
        <v/>
      </c>
      <c r="L77" s="19" t="str">
        <f t="shared" si="17"/>
        <v/>
      </c>
      <c r="M77" s="19"/>
      <c r="N77" s="34" t="str">
        <f t="shared" si="18"/>
        <v/>
      </c>
      <c r="O77" s="19"/>
      <c r="P77" s="34"/>
      <c r="Q77" s="19"/>
      <c r="R77" s="34"/>
      <c r="S77" s="19"/>
      <c r="T77" s="19"/>
      <c r="U77" s="19"/>
      <c r="V77" s="19"/>
      <c r="W77" s="34" t="str">
        <f t="shared" si="16"/>
        <v/>
      </c>
      <c r="X77" s="19"/>
      <c r="Y77" s="34"/>
      <c r="Z77" s="19"/>
      <c r="AA77" s="34"/>
      <c r="AB77" s="34"/>
      <c r="AC77" s="34" t="str">
        <f t="shared" si="19"/>
        <v/>
      </c>
      <c r="AD77" s="19"/>
      <c r="AE77" s="19"/>
      <c r="AF77" s="34" t="str">
        <f>OTMaestraTable[[#This Row],[Solicitante]]</f>
        <v/>
      </c>
      <c r="AG77" s="19"/>
      <c r="AH77" s="19" t="str">
        <f t="shared" si="20"/>
        <v/>
      </c>
      <c r="AI77" s="30" t="str">
        <f t="shared" si="21"/>
        <v/>
      </c>
      <c r="AJ77" s="30" t="str">
        <f t="shared" si="22"/>
        <v/>
      </c>
      <c r="AK77" s="30" t="str">
        <f t="shared" si="23"/>
        <v/>
      </c>
      <c r="AL77" s="19"/>
    </row>
    <row r="78" spans="1:38">
      <c r="A78" s="23" t="str">
        <f>IF('02_Base_Solicitudes'!A76="","",'02_Base_Solicitudes'!R76)</f>
        <v/>
      </c>
      <c r="B78" s="30" t="str">
        <f>IF('02_Base_Solicitudes'!A76="","",'02_Base_Solicitudes'!A76)</f>
        <v/>
      </c>
      <c r="C78" s="23" t="str">
        <f>IF('02_Base_Solicitudes'!A76="","",'02_Base_Solicitudes'!C76)</f>
        <v/>
      </c>
      <c r="D78" s="23" t="str">
        <f>IF('02_Base_Solicitudes'!A76="","",'02_Base_Solicitudes'!D76)</f>
        <v/>
      </c>
      <c r="E78" s="23" t="str">
        <f>IF('02_Base_Solicitudes'!A76="","",'02_Base_Solicitudes'!E76)</f>
        <v/>
      </c>
      <c r="F78" s="23" t="str">
        <f>IF('02_Base_Solicitudes'!A76="","",'02_Base_Solicitudes'!G76)</f>
        <v/>
      </c>
      <c r="G78" s="23" t="str">
        <f>IF('02_Base_Solicitudes'!A76="","",'02_Base_Solicitudes'!H76)</f>
        <v/>
      </c>
      <c r="H78" s="32" t="str">
        <f>IF('02_Base_Solicitudes'!A76="","",'02_Base_Solicitudes'!I76)</f>
        <v/>
      </c>
      <c r="I78" s="30" t="str">
        <f>IF('02_Base_Solicitudes'!A76="","",'02_Base_Solicitudes'!J76)</f>
        <v/>
      </c>
      <c r="J78" s="23" t="str">
        <f>IF('02_Base_Solicitudes'!A76="","",'02_Base_Solicitudes'!M76)</f>
        <v/>
      </c>
      <c r="K78" s="33" t="str">
        <f>IF('02_Base_Solicitudes'!A76="","",'02_Base_Solicitudes'!K76)</f>
        <v/>
      </c>
      <c r="L78" s="19" t="str">
        <f t="shared" si="17"/>
        <v/>
      </c>
      <c r="M78" s="19"/>
      <c r="N78" s="34" t="str">
        <f t="shared" si="18"/>
        <v/>
      </c>
      <c r="O78" s="19"/>
      <c r="P78" s="34"/>
      <c r="Q78" s="19"/>
      <c r="R78" s="34"/>
      <c r="S78" s="19"/>
      <c r="T78" s="19"/>
      <c r="U78" s="19"/>
      <c r="V78" s="19"/>
      <c r="W78" s="34" t="str">
        <f t="shared" si="16"/>
        <v/>
      </c>
      <c r="X78" s="19"/>
      <c r="Y78" s="34"/>
      <c r="Z78" s="19"/>
      <c r="AA78" s="34"/>
      <c r="AB78" s="34"/>
      <c r="AC78" s="34" t="str">
        <f t="shared" si="19"/>
        <v/>
      </c>
      <c r="AD78" s="19"/>
      <c r="AE78" s="19"/>
      <c r="AF78" s="34" t="str">
        <f>OTMaestraTable[[#This Row],[Solicitante]]</f>
        <v/>
      </c>
      <c r="AG78" s="19"/>
      <c r="AH78" s="19" t="str">
        <f t="shared" si="20"/>
        <v/>
      </c>
      <c r="AI78" s="30" t="str">
        <f t="shared" si="21"/>
        <v/>
      </c>
      <c r="AJ78" s="30" t="str">
        <f t="shared" si="22"/>
        <v/>
      </c>
      <c r="AK78" s="30" t="str">
        <f t="shared" si="23"/>
        <v/>
      </c>
      <c r="AL78" s="19"/>
    </row>
    <row r="79" spans="1:38">
      <c r="A79" s="23" t="str">
        <f>IF('02_Base_Solicitudes'!A77="","",'02_Base_Solicitudes'!R77)</f>
        <v/>
      </c>
      <c r="B79" s="30" t="str">
        <f>IF('02_Base_Solicitudes'!A77="","",'02_Base_Solicitudes'!A77)</f>
        <v/>
      </c>
      <c r="C79" s="23" t="str">
        <f>IF('02_Base_Solicitudes'!A77="","",'02_Base_Solicitudes'!C77)</f>
        <v/>
      </c>
      <c r="D79" s="23" t="str">
        <f>IF('02_Base_Solicitudes'!A77="","",'02_Base_Solicitudes'!D77)</f>
        <v/>
      </c>
      <c r="E79" s="23" t="str">
        <f>IF('02_Base_Solicitudes'!A77="","",'02_Base_Solicitudes'!E77)</f>
        <v/>
      </c>
      <c r="F79" s="23" t="str">
        <f>IF('02_Base_Solicitudes'!A77="","",'02_Base_Solicitudes'!G77)</f>
        <v/>
      </c>
      <c r="G79" s="23" t="str">
        <f>IF('02_Base_Solicitudes'!A77="","",'02_Base_Solicitudes'!H77)</f>
        <v/>
      </c>
      <c r="H79" s="32" t="str">
        <f>IF('02_Base_Solicitudes'!A77="","",'02_Base_Solicitudes'!I77)</f>
        <v/>
      </c>
      <c r="I79" s="30" t="str">
        <f>IF('02_Base_Solicitudes'!A77="","",'02_Base_Solicitudes'!J77)</f>
        <v/>
      </c>
      <c r="J79" s="23" t="str">
        <f>IF('02_Base_Solicitudes'!A77="","",'02_Base_Solicitudes'!M77)</f>
        <v/>
      </c>
      <c r="K79" s="33" t="str">
        <f>IF('02_Base_Solicitudes'!A77="","",'02_Base_Solicitudes'!K77)</f>
        <v/>
      </c>
      <c r="L79" s="19" t="str">
        <f t="shared" si="17"/>
        <v/>
      </c>
      <c r="M79" s="19"/>
      <c r="N79" s="34" t="str">
        <f t="shared" si="18"/>
        <v/>
      </c>
      <c r="O79" s="19"/>
      <c r="P79" s="34"/>
      <c r="Q79" s="19"/>
      <c r="R79" s="34"/>
      <c r="S79" s="19"/>
      <c r="T79" s="19"/>
      <c r="U79" s="19"/>
      <c r="V79" s="19"/>
      <c r="W79" s="34" t="str">
        <f t="shared" si="16"/>
        <v/>
      </c>
      <c r="X79" s="19"/>
      <c r="Y79" s="34"/>
      <c r="Z79" s="19"/>
      <c r="AA79" s="34"/>
      <c r="AB79" s="34"/>
      <c r="AC79" s="34" t="str">
        <f t="shared" si="19"/>
        <v/>
      </c>
      <c r="AD79" s="19"/>
      <c r="AE79" s="19"/>
      <c r="AF79" s="34" t="str">
        <f>OTMaestraTable[[#This Row],[Solicitante]]</f>
        <v/>
      </c>
      <c r="AG79" s="19"/>
      <c r="AH79" s="19" t="str">
        <f t="shared" si="20"/>
        <v/>
      </c>
      <c r="AI79" s="30" t="str">
        <f t="shared" si="21"/>
        <v/>
      </c>
      <c r="AJ79" s="30" t="str">
        <f t="shared" si="22"/>
        <v/>
      </c>
      <c r="AK79" s="30" t="str">
        <f t="shared" si="23"/>
        <v/>
      </c>
      <c r="AL79" s="19"/>
    </row>
    <row r="80" spans="1:38">
      <c r="A80" s="23" t="str">
        <f>IF('02_Base_Solicitudes'!A78="","",'02_Base_Solicitudes'!R78)</f>
        <v/>
      </c>
      <c r="B80" s="30" t="str">
        <f>IF('02_Base_Solicitudes'!A78="","",'02_Base_Solicitudes'!A78)</f>
        <v/>
      </c>
      <c r="C80" s="23" t="str">
        <f>IF('02_Base_Solicitudes'!A78="","",'02_Base_Solicitudes'!C78)</f>
        <v/>
      </c>
      <c r="D80" s="23" t="str">
        <f>IF('02_Base_Solicitudes'!A78="","",'02_Base_Solicitudes'!D78)</f>
        <v/>
      </c>
      <c r="E80" s="23" t="str">
        <f>IF('02_Base_Solicitudes'!A78="","",'02_Base_Solicitudes'!E78)</f>
        <v/>
      </c>
      <c r="F80" s="23" t="str">
        <f>IF('02_Base_Solicitudes'!A78="","",'02_Base_Solicitudes'!G78)</f>
        <v/>
      </c>
      <c r="G80" s="23" t="str">
        <f>IF('02_Base_Solicitudes'!A78="","",'02_Base_Solicitudes'!H78)</f>
        <v/>
      </c>
      <c r="H80" s="32" t="str">
        <f>IF('02_Base_Solicitudes'!A78="","",'02_Base_Solicitudes'!I78)</f>
        <v/>
      </c>
      <c r="I80" s="30" t="str">
        <f>IF('02_Base_Solicitudes'!A78="","",'02_Base_Solicitudes'!J78)</f>
        <v/>
      </c>
      <c r="J80" s="23" t="str">
        <f>IF('02_Base_Solicitudes'!A78="","",'02_Base_Solicitudes'!M78)</f>
        <v/>
      </c>
      <c r="K80" s="33" t="str">
        <f>IF('02_Base_Solicitudes'!A78="","",'02_Base_Solicitudes'!K78)</f>
        <v/>
      </c>
      <c r="L80" s="19" t="str">
        <f t="shared" si="17"/>
        <v/>
      </c>
      <c r="M80" s="19"/>
      <c r="N80" s="34" t="str">
        <f t="shared" si="18"/>
        <v/>
      </c>
      <c r="O80" s="19"/>
      <c r="P80" s="34"/>
      <c r="Q80" s="19"/>
      <c r="R80" s="34"/>
      <c r="S80" s="19"/>
      <c r="T80" s="19"/>
      <c r="U80" s="19"/>
      <c r="V80" s="19"/>
      <c r="W80" s="34" t="str">
        <f t="shared" si="16"/>
        <v/>
      </c>
      <c r="X80" s="19"/>
      <c r="Y80" s="34"/>
      <c r="Z80" s="19"/>
      <c r="AA80" s="34"/>
      <c r="AB80" s="34"/>
      <c r="AC80" s="34" t="str">
        <f t="shared" si="19"/>
        <v/>
      </c>
      <c r="AD80" s="19"/>
      <c r="AE80" s="19"/>
      <c r="AF80" s="34" t="str">
        <f>OTMaestraTable[[#This Row],[Solicitante]]</f>
        <v/>
      </c>
      <c r="AG80" s="19"/>
      <c r="AH80" s="19" t="str">
        <f t="shared" si="20"/>
        <v/>
      </c>
      <c r="AI80" s="30" t="str">
        <f t="shared" si="21"/>
        <v/>
      </c>
      <c r="AJ80" s="30" t="str">
        <f t="shared" si="22"/>
        <v/>
      </c>
      <c r="AK80" s="30" t="str">
        <f t="shared" si="23"/>
        <v/>
      </c>
      <c r="AL80" s="19"/>
    </row>
    <row r="81" spans="1:38">
      <c r="A81" s="23" t="str">
        <f>IF('02_Base_Solicitudes'!A79="","",'02_Base_Solicitudes'!R79)</f>
        <v/>
      </c>
      <c r="B81" s="30" t="str">
        <f>IF('02_Base_Solicitudes'!A79="","",'02_Base_Solicitudes'!A79)</f>
        <v/>
      </c>
      <c r="C81" s="23" t="str">
        <f>IF('02_Base_Solicitudes'!A79="","",'02_Base_Solicitudes'!C79)</f>
        <v/>
      </c>
      <c r="D81" s="23" t="str">
        <f>IF('02_Base_Solicitudes'!A79="","",'02_Base_Solicitudes'!D79)</f>
        <v/>
      </c>
      <c r="E81" s="23" t="str">
        <f>IF('02_Base_Solicitudes'!A79="","",'02_Base_Solicitudes'!E79)</f>
        <v/>
      </c>
      <c r="F81" s="23" t="str">
        <f>IF('02_Base_Solicitudes'!A79="","",'02_Base_Solicitudes'!G79)</f>
        <v/>
      </c>
      <c r="G81" s="23" t="str">
        <f>IF('02_Base_Solicitudes'!A79="","",'02_Base_Solicitudes'!H79)</f>
        <v/>
      </c>
      <c r="H81" s="32" t="str">
        <f>IF('02_Base_Solicitudes'!A79="","",'02_Base_Solicitudes'!I79)</f>
        <v/>
      </c>
      <c r="I81" s="30" t="str">
        <f>IF('02_Base_Solicitudes'!A79="","",'02_Base_Solicitudes'!J79)</f>
        <v/>
      </c>
      <c r="J81" s="23" t="str">
        <f>IF('02_Base_Solicitudes'!A79="","",'02_Base_Solicitudes'!M79)</f>
        <v/>
      </c>
      <c r="K81" s="33" t="str">
        <f>IF('02_Base_Solicitudes'!A79="","",'02_Base_Solicitudes'!K79)</f>
        <v/>
      </c>
      <c r="L81" s="19" t="str">
        <f t="shared" si="17"/>
        <v/>
      </c>
      <c r="M81" s="19"/>
      <c r="N81" s="34" t="str">
        <f t="shared" si="18"/>
        <v/>
      </c>
      <c r="O81" s="19"/>
      <c r="P81" s="34"/>
      <c r="Q81" s="19"/>
      <c r="R81" s="34"/>
      <c r="S81" s="19"/>
      <c r="T81" s="19"/>
      <c r="U81" s="19"/>
      <c r="V81" s="19"/>
      <c r="W81" s="34" t="str">
        <f t="shared" si="16"/>
        <v/>
      </c>
      <c r="X81" s="19"/>
      <c r="Y81" s="34"/>
      <c r="Z81" s="19"/>
      <c r="AA81" s="34"/>
      <c r="AB81" s="34"/>
      <c r="AC81" s="34" t="str">
        <f t="shared" si="19"/>
        <v/>
      </c>
      <c r="AD81" s="19"/>
      <c r="AE81" s="19"/>
      <c r="AF81" s="34" t="str">
        <f>OTMaestraTable[[#This Row],[Solicitante]]</f>
        <v/>
      </c>
      <c r="AG81" s="19"/>
      <c r="AH81" s="19" t="str">
        <f t="shared" si="20"/>
        <v/>
      </c>
      <c r="AI81" s="30" t="str">
        <f t="shared" si="21"/>
        <v/>
      </c>
      <c r="AJ81" s="30" t="str">
        <f t="shared" si="22"/>
        <v/>
      </c>
      <c r="AK81" s="30" t="str">
        <f t="shared" si="23"/>
        <v/>
      </c>
      <c r="AL81" s="19"/>
    </row>
    <row r="82" spans="1:38">
      <c r="A82" s="23" t="str">
        <f>IF('02_Base_Solicitudes'!A80="","",'02_Base_Solicitudes'!R80)</f>
        <v/>
      </c>
      <c r="B82" s="30" t="str">
        <f>IF('02_Base_Solicitudes'!A80="","",'02_Base_Solicitudes'!A80)</f>
        <v/>
      </c>
      <c r="C82" s="23" t="str">
        <f>IF('02_Base_Solicitudes'!A80="","",'02_Base_Solicitudes'!C80)</f>
        <v/>
      </c>
      <c r="D82" s="23" t="str">
        <f>IF('02_Base_Solicitudes'!A80="","",'02_Base_Solicitudes'!D80)</f>
        <v/>
      </c>
      <c r="E82" s="23" t="str">
        <f>IF('02_Base_Solicitudes'!A80="","",'02_Base_Solicitudes'!E80)</f>
        <v/>
      </c>
      <c r="F82" s="23" t="str">
        <f>IF('02_Base_Solicitudes'!A80="","",'02_Base_Solicitudes'!G80)</f>
        <v/>
      </c>
      <c r="G82" s="23" t="str">
        <f>IF('02_Base_Solicitudes'!A80="","",'02_Base_Solicitudes'!H80)</f>
        <v/>
      </c>
      <c r="H82" s="32" t="str">
        <f>IF('02_Base_Solicitudes'!A80="","",'02_Base_Solicitudes'!I80)</f>
        <v/>
      </c>
      <c r="I82" s="30" t="str">
        <f>IF('02_Base_Solicitudes'!A80="","",'02_Base_Solicitudes'!J80)</f>
        <v/>
      </c>
      <c r="J82" s="23" t="str">
        <f>IF('02_Base_Solicitudes'!A80="","",'02_Base_Solicitudes'!M80)</f>
        <v/>
      </c>
      <c r="K82" s="33" t="str">
        <f>IF('02_Base_Solicitudes'!A80="","",'02_Base_Solicitudes'!K80)</f>
        <v/>
      </c>
      <c r="L82" s="19" t="str">
        <f t="shared" si="17"/>
        <v/>
      </c>
      <c r="M82" s="19"/>
      <c r="N82" s="34" t="str">
        <f t="shared" si="18"/>
        <v/>
      </c>
      <c r="O82" s="19"/>
      <c r="P82" s="34"/>
      <c r="Q82" s="19"/>
      <c r="R82" s="34"/>
      <c r="S82" s="19"/>
      <c r="T82" s="19"/>
      <c r="U82" s="19"/>
      <c r="V82" s="19"/>
      <c r="W82" s="34" t="str">
        <f t="shared" si="16"/>
        <v/>
      </c>
      <c r="X82" s="19"/>
      <c r="Y82" s="34"/>
      <c r="Z82" s="19"/>
      <c r="AA82" s="34"/>
      <c r="AB82" s="34"/>
      <c r="AC82" s="34" t="str">
        <f t="shared" si="19"/>
        <v/>
      </c>
      <c r="AD82" s="19"/>
      <c r="AE82" s="19"/>
      <c r="AF82" s="34" t="str">
        <f>OTMaestraTable[[#This Row],[Solicitante]]</f>
        <v/>
      </c>
      <c r="AG82" s="19"/>
      <c r="AH82" s="19" t="str">
        <f t="shared" si="20"/>
        <v/>
      </c>
      <c r="AI82" s="30" t="str">
        <f t="shared" si="21"/>
        <v/>
      </c>
      <c r="AJ82" s="30" t="str">
        <f t="shared" si="22"/>
        <v/>
      </c>
      <c r="AK82" s="30" t="str">
        <f t="shared" si="23"/>
        <v/>
      </c>
      <c r="AL82" s="19"/>
    </row>
    <row r="83" spans="1:38">
      <c r="A83" s="23" t="str">
        <f>IF('02_Base_Solicitudes'!A81="","",'02_Base_Solicitudes'!R81)</f>
        <v/>
      </c>
      <c r="B83" s="30" t="str">
        <f>IF('02_Base_Solicitudes'!A81="","",'02_Base_Solicitudes'!A81)</f>
        <v/>
      </c>
      <c r="C83" s="23" t="str">
        <f>IF('02_Base_Solicitudes'!A81="","",'02_Base_Solicitudes'!C81)</f>
        <v/>
      </c>
      <c r="D83" s="23" t="str">
        <f>IF('02_Base_Solicitudes'!A81="","",'02_Base_Solicitudes'!D81)</f>
        <v/>
      </c>
      <c r="E83" s="23" t="str">
        <f>IF('02_Base_Solicitudes'!A81="","",'02_Base_Solicitudes'!E81)</f>
        <v/>
      </c>
      <c r="F83" s="23" t="str">
        <f>IF('02_Base_Solicitudes'!A81="","",'02_Base_Solicitudes'!G81)</f>
        <v/>
      </c>
      <c r="G83" s="23" t="str">
        <f>IF('02_Base_Solicitudes'!A81="","",'02_Base_Solicitudes'!H81)</f>
        <v/>
      </c>
      <c r="H83" s="32" t="str">
        <f>IF('02_Base_Solicitudes'!A81="","",'02_Base_Solicitudes'!I81)</f>
        <v/>
      </c>
      <c r="I83" s="30" t="str">
        <f>IF('02_Base_Solicitudes'!A81="","",'02_Base_Solicitudes'!J81)</f>
        <v/>
      </c>
      <c r="J83" s="23" t="str">
        <f>IF('02_Base_Solicitudes'!A81="","",'02_Base_Solicitudes'!M81)</f>
        <v/>
      </c>
      <c r="K83" s="33" t="str">
        <f>IF('02_Base_Solicitudes'!A81="","",'02_Base_Solicitudes'!K81)</f>
        <v/>
      </c>
      <c r="L83" s="19" t="str">
        <f t="shared" si="17"/>
        <v/>
      </c>
      <c r="M83" s="19"/>
      <c r="N83" s="34" t="str">
        <f t="shared" si="18"/>
        <v/>
      </c>
      <c r="O83" s="19"/>
      <c r="P83" s="34"/>
      <c r="Q83" s="19"/>
      <c r="R83" s="34"/>
      <c r="S83" s="19"/>
      <c r="T83" s="19"/>
      <c r="U83" s="19"/>
      <c r="V83" s="19"/>
      <c r="W83" s="34" t="str">
        <f t="shared" si="16"/>
        <v/>
      </c>
      <c r="X83" s="19"/>
      <c r="Y83" s="34"/>
      <c r="Z83" s="19"/>
      <c r="AA83" s="34"/>
      <c r="AB83" s="34"/>
      <c r="AC83" s="34" t="str">
        <f t="shared" si="19"/>
        <v/>
      </c>
      <c r="AD83" s="19"/>
      <c r="AE83" s="19"/>
      <c r="AF83" s="34" t="str">
        <f>OTMaestraTable[[#This Row],[Solicitante]]</f>
        <v/>
      </c>
      <c r="AG83" s="19"/>
      <c r="AH83" s="19" t="str">
        <f t="shared" si="20"/>
        <v/>
      </c>
      <c r="AI83" s="30" t="str">
        <f t="shared" si="21"/>
        <v/>
      </c>
      <c r="AJ83" s="30" t="str">
        <f t="shared" si="22"/>
        <v/>
      </c>
      <c r="AK83" s="30" t="str">
        <f t="shared" si="23"/>
        <v/>
      </c>
      <c r="AL83" s="19"/>
    </row>
    <row r="84" spans="1:38">
      <c r="A84" s="23" t="str">
        <f>IF('02_Base_Solicitudes'!A82="","",'02_Base_Solicitudes'!R82)</f>
        <v/>
      </c>
      <c r="B84" s="30" t="str">
        <f>IF('02_Base_Solicitudes'!A82="","",'02_Base_Solicitudes'!A82)</f>
        <v/>
      </c>
      <c r="C84" s="23" t="str">
        <f>IF('02_Base_Solicitudes'!A82="","",'02_Base_Solicitudes'!C82)</f>
        <v/>
      </c>
      <c r="D84" s="23" t="str">
        <f>IF('02_Base_Solicitudes'!A82="","",'02_Base_Solicitudes'!D82)</f>
        <v/>
      </c>
      <c r="E84" s="23" t="str">
        <f>IF('02_Base_Solicitudes'!A82="","",'02_Base_Solicitudes'!E82)</f>
        <v/>
      </c>
      <c r="F84" s="23" t="str">
        <f>IF('02_Base_Solicitudes'!A82="","",'02_Base_Solicitudes'!G82)</f>
        <v/>
      </c>
      <c r="G84" s="23" t="str">
        <f>IF('02_Base_Solicitudes'!A82="","",'02_Base_Solicitudes'!H82)</f>
        <v/>
      </c>
      <c r="H84" s="32" t="str">
        <f>IF('02_Base_Solicitudes'!A82="","",'02_Base_Solicitudes'!I82)</f>
        <v/>
      </c>
      <c r="I84" s="30" t="str">
        <f>IF('02_Base_Solicitudes'!A82="","",'02_Base_Solicitudes'!J82)</f>
        <v/>
      </c>
      <c r="J84" s="23" t="str">
        <f>IF('02_Base_Solicitudes'!A82="","",'02_Base_Solicitudes'!M82)</f>
        <v/>
      </c>
      <c r="K84" s="33" t="str">
        <f>IF('02_Base_Solicitudes'!A82="","",'02_Base_Solicitudes'!K82)</f>
        <v/>
      </c>
      <c r="L84" s="19" t="str">
        <f t="shared" si="17"/>
        <v/>
      </c>
      <c r="M84" s="19"/>
      <c r="N84" s="34" t="str">
        <f t="shared" si="18"/>
        <v/>
      </c>
      <c r="O84" s="19"/>
      <c r="P84" s="34"/>
      <c r="Q84" s="19"/>
      <c r="R84" s="34"/>
      <c r="S84" s="19"/>
      <c r="T84" s="19"/>
      <c r="U84" s="19"/>
      <c r="V84" s="19"/>
      <c r="W84" s="34" t="str">
        <f t="shared" ref="W84:W103" si="24">IF($A84="","","Pendiente")</f>
        <v/>
      </c>
      <c r="X84" s="19"/>
      <c r="Y84" s="34"/>
      <c r="Z84" s="19"/>
      <c r="AA84" s="34"/>
      <c r="AB84" s="34"/>
      <c r="AC84" s="34" t="str">
        <f t="shared" si="19"/>
        <v/>
      </c>
      <c r="AD84" s="19"/>
      <c r="AE84" s="19"/>
      <c r="AF84" s="34" t="str">
        <f>OTMaestraTable[[#This Row],[Solicitante]]</f>
        <v/>
      </c>
      <c r="AG84" s="19"/>
      <c r="AH84" s="19" t="str">
        <f t="shared" si="20"/>
        <v/>
      </c>
      <c r="AI84" s="30" t="str">
        <f t="shared" si="21"/>
        <v/>
      </c>
      <c r="AJ84" s="30" t="str">
        <f t="shared" si="22"/>
        <v/>
      </c>
      <c r="AK84" s="30" t="str">
        <f t="shared" si="23"/>
        <v/>
      </c>
      <c r="AL84" s="19"/>
    </row>
    <row r="85" spans="1:38">
      <c r="A85" s="23" t="str">
        <f>IF('02_Base_Solicitudes'!A83="","",'02_Base_Solicitudes'!R83)</f>
        <v/>
      </c>
      <c r="B85" s="30" t="str">
        <f>IF('02_Base_Solicitudes'!A83="","",'02_Base_Solicitudes'!A83)</f>
        <v/>
      </c>
      <c r="C85" s="23" t="str">
        <f>IF('02_Base_Solicitudes'!A83="","",'02_Base_Solicitudes'!C83)</f>
        <v/>
      </c>
      <c r="D85" s="23" t="str">
        <f>IF('02_Base_Solicitudes'!A83="","",'02_Base_Solicitudes'!D83)</f>
        <v/>
      </c>
      <c r="E85" s="23" t="str">
        <f>IF('02_Base_Solicitudes'!A83="","",'02_Base_Solicitudes'!E83)</f>
        <v/>
      </c>
      <c r="F85" s="23" t="str">
        <f>IF('02_Base_Solicitudes'!A83="","",'02_Base_Solicitudes'!G83)</f>
        <v/>
      </c>
      <c r="G85" s="23" t="str">
        <f>IF('02_Base_Solicitudes'!A83="","",'02_Base_Solicitudes'!H83)</f>
        <v/>
      </c>
      <c r="H85" s="32" t="str">
        <f>IF('02_Base_Solicitudes'!A83="","",'02_Base_Solicitudes'!I83)</f>
        <v/>
      </c>
      <c r="I85" s="30" t="str">
        <f>IF('02_Base_Solicitudes'!A83="","",'02_Base_Solicitudes'!J83)</f>
        <v/>
      </c>
      <c r="J85" s="23" t="str">
        <f>IF('02_Base_Solicitudes'!A83="","",'02_Base_Solicitudes'!M83)</f>
        <v/>
      </c>
      <c r="K85" s="33" t="str">
        <f>IF('02_Base_Solicitudes'!A83="","",'02_Base_Solicitudes'!K83)</f>
        <v/>
      </c>
      <c r="L85" s="19" t="str">
        <f t="shared" si="17"/>
        <v/>
      </c>
      <c r="M85" s="19"/>
      <c r="N85" s="34" t="str">
        <f t="shared" si="18"/>
        <v/>
      </c>
      <c r="O85" s="19"/>
      <c r="P85" s="34"/>
      <c r="Q85" s="19"/>
      <c r="R85" s="34"/>
      <c r="S85" s="19"/>
      <c r="T85" s="19"/>
      <c r="U85" s="19"/>
      <c r="V85" s="19"/>
      <c r="W85" s="34" t="str">
        <f t="shared" si="24"/>
        <v/>
      </c>
      <c r="X85" s="19"/>
      <c r="Y85" s="34"/>
      <c r="Z85" s="19"/>
      <c r="AA85" s="34"/>
      <c r="AB85" s="34"/>
      <c r="AC85" s="34" t="str">
        <f t="shared" si="19"/>
        <v/>
      </c>
      <c r="AD85" s="19"/>
      <c r="AE85" s="19"/>
      <c r="AF85" s="34" t="str">
        <f>OTMaestraTable[[#This Row],[Solicitante]]</f>
        <v/>
      </c>
      <c r="AG85" s="19"/>
      <c r="AH85" s="19" t="str">
        <f t="shared" si="20"/>
        <v/>
      </c>
      <c r="AI85" s="30" t="str">
        <f t="shared" si="21"/>
        <v/>
      </c>
      <c r="AJ85" s="30" t="str">
        <f t="shared" si="22"/>
        <v/>
      </c>
      <c r="AK85" s="30" t="str">
        <f t="shared" si="23"/>
        <v/>
      </c>
      <c r="AL85" s="19"/>
    </row>
    <row r="86" spans="1:38">
      <c r="A86" s="23" t="str">
        <f>IF('02_Base_Solicitudes'!A84="","",'02_Base_Solicitudes'!R84)</f>
        <v/>
      </c>
      <c r="B86" s="30" t="str">
        <f>IF('02_Base_Solicitudes'!A84="","",'02_Base_Solicitudes'!A84)</f>
        <v/>
      </c>
      <c r="C86" s="23" t="str">
        <f>IF('02_Base_Solicitudes'!A84="","",'02_Base_Solicitudes'!C84)</f>
        <v/>
      </c>
      <c r="D86" s="23" t="str">
        <f>IF('02_Base_Solicitudes'!A84="","",'02_Base_Solicitudes'!D84)</f>
        <v/>
      </c>
      <c r="E86" s="23" t="str">
        <f>IF('02_Base_Solicitudes'!A84="","",'02_Base_Solicitudes'!E84)</f>
        <v/>
      </c>
      <c r="F86" s="23" t="str">
        <f>IF('02_Base_Solicitudes'!A84="","",'02_Base_Solicitudes'!G84)</f>
        <v/>
      </c>
      <c r="G86" s="23" t="str">
        <f>IF('02_Base_Solicitudes'!A84="","",'02_Base_Solicitudes'!H84)</f>
        <v/>
      </c>
      <c r="H86" s="32" t="str">
        <f>IF('02_Base_Solicitudes'!A84="","",'02_Base_Solicitudes'!I84)</f>
        <v/>
      </c>
      <c r="I86" s="30" t="str">
        <f>IF('02_Base_Solicitudes'!A84="","",'02_Base_Solicitudes'!J84)</f>
        <v/>
      </c>
      <c r="J86" s="23" t="str">
        <f>IF('02_Base_Solicitudes'!A84="","",'02_Base_Solicitudes'!M84)</f>
        <v/>
      </c>
      <c r="K86" s="33" t="str">
        <f>IF('02_Base_Solicitudes'!A84="","",'02_Base_Solicitudes'!K84)</f>
        <v/>
      </c>
      <c r="L86" s="19" t="str">
        <f t="shared" si="17"/>
        <v/>
      </c>
      <c r="M86" s="19"/>
      <c r="N86" s="34" t="str">
        <f t="shared" si="18"/>
        <v/>
      </c>
      <c r="O86" s="19"/>
      <c r="P86" s="34"/>
      <c r="Q86" s="19"/>
      <c r="R86" s="34"/>
      <c r="S86" s="19"/>
      <c r="T86" s="19"/>
      <c r="U86" s="19"/>
      <c r="V86" s="19"/>
      <c r="W86" s="34" t="str">
        <f t="shared" si="24"/>
        <v/>
      </c>
      <c r="X86" s="19"/>
      <c r="Y86" s="34"/>
      <c r="Z86" s="19"/>
      <c r="AA86" s="34"/>
      <c r="AB86" s="34"/>
      <c r="AC86" s="34" t="str">
        <f t="shared" si="19"/>
        <v/>
      </c>
      <c r="AD86" s="19"/>
      <c r="AE86" s="19"/>
      <c r="AF86" s="34" t="str">
        <f>OTMaestraTable[[#This Row],[Solicitante]]</f>
        <v/>
      </c>
      <c r="AG86" s="19"/>
      <c r="AH86" s="19" t="str">
        <f t="shared" si="20"/>
        <v/>
      </c>
      <c r="AI86" s="30" t="str">
        <f t="shared" si="21"/>
        <v/>
      </c>
      <c r="AJ86" s="30" t="str">
        <f t="shared" si="22"/>
        <v/>
      </c>
      <c r="AK86" s="30" t="str">
        <f t="shared" si="23"/>
        <v/>
      </c>
      <c r="AL86" s="19"/>
    </row>
    <row r="87" spans="1:38">
      <c r="A87" s="23" t="str">
        <f>IF('02_Base_Solicitudes'!A85="","",'02_Base_Solicitudes'!R85)</f>
        <v/>
      </c>
      <c r="B87" s="30" t="str">
        <f>IF('02_Base_Solicitudes'!A85="","",'02_Base_Solicitudes'!A85)</f>
        <v/>
      </c>
      <c r="C87" s="23" t="str">
        <f>IF('02_Base_Solicitudes'!A85="","",'02_Base_Solicitudes'!C85)</f>
        <v/>
      </c>
      <c r="D87" s="23" t="str">
        <f>IF('02_Base_Solicitudes'!A85="","",'02_Base_Solicitudes'!D85)</f>
        <v/>
      </c>
      <c r="E87" s="23" t="str">
        <f>IF('02_Base_Solicitudes'!A85="","",'02_Base_Solicitudes'!E85)</f>
        <v/>
      </c>
      <c r="F87" s="23" t="str">
        <f>IF('02_Base_Solicitudes'!A85="","",'02_Base_Solicitudes'!G85)</f>
        <v/>
      </c>
      <c r="G87" s="23" t="str">
        <f>IF('02_Base_Solicitudes'!A85="","",'02_Base_Solicitudes'!H85)</f>
        <v/>
      </c>
      <c r="H87" s="32" t="str">
        <f>IF('02_Base_Solicitudes'!A85="","",'02_Base_Solicitudes'!I85)</f>
        <v/>
      </c>
      <c r="I87" s="30" t="str">
        <f>IF('02_Base_Solicitudes'!A85="","",'02_Base_Solicitudes'!J85)</f>
        <v/>
      </c>
      <c r="J87" s="23" t="str">
        <f>IF('02_Base_Solicitudes'!A85="","",'02_Base_Solicitudes'!M85)</f>
        <v/>
      </c>
      <c r="K87" s="33" t="str">
        <f>IF('02_Base_Solicitudes'!A85="","",'02_Base_Solicitudes'!K85)</f>
        <v/>
      </c>
      <c r="L87" s="19" t="str">
        <f t="shared" si="17"/>
        <v/>
      </c>
      <c r="M87" s="19"/>
      <c r="N87" s="34" t="str">
        <f t="shared" si="18"/>
        <v/>
      </c>
      <c r="O87" s="19"/>
      <c r="P87" s="34"/>
      <c r="Q87" s="19"/>
      <c r="R87" s="34"/>
      <c r="S87" s="19"/>
      <c r="T87" s="19"/>
      <c r="U87" s="19"/>
      <c r="V87" s="19"/>
      <c r="W87" s="34" t="str">
        <f t="shared" si="24"/>
        <v/>
      </c>
      <c r="X87" s="19"/>
      <c r="Y87" s="34"/>
      <c r="Z87" s="19"/>
      <c r="AA87" s="34"/>
      <c r="AB87" s="34"/>
      <c r="AC87" s="34" t="str">
        <f t="shared" si="19"/>
        <v/>
      </c>
      <c r="AD87" s="19"/>
      <c r="AE87" s="19"/>
      <c r="AF87" s="34" t="str">
        <f>OTMaestraTable[[#This Row],[Solicitante]]</f>
        <v/>
      </c>
      <c r="AG87" s="19"/>
      <c r="AH87" s="19" t="str">
        <f t="shared" si="20"/>
        <v/>
      </c>
      <c r="AI87" s="30" t="str">
        <f t="shared" si="21"/>
        <v/>
      </c>
      <c r="AJ87" s="30" t="str">
        <f t="shared" si="22"/>
        <v/>
      </c>
      <c r="AK87" s="30" t="str">
        <f t="shared" si="23"/>
        <v/>
      </c>
      <c r="AL87" s="19"/>
    </row>
    <row r="88" spans="1:38">
      <c r="A88" s="23" t="str">
        <f>IF('02_Base_Solicitudes'!A86="","",'02_Base_Solicitudes'!R86)</f>
        <v/>
      </c>
      <c r="B88" s="30" t="str">
        <f>IF('02_Base_Solicitudes'!A86="","",'02_Base_Solicitudes'!A86)</f>
        <v/>
      </c>
      <c r="C88" s="23" t="str">
        <f>IF('02_Base_Solicitudes'!A86="","",'02_Base_Solicitudes'!C86)</f>
        <v/>
      </c>
      <c r="D88" s="23" t="str">
        <f>IF('02_Base_Solicitudes'!A86="","",'02_Base_Solicitudes'!D86)</f>
        <v/>
      </c>
      <c r="E88" s="23" t="str">
        <f>IF('02_Base_Solicitudes'!A86="","",'02_Base_Solicitudes'!E86)</f>
        <v/>
      </c>
      <c r="F88" s="23" t="str">
        <f>IF('02_Base_Solicitudes'!A86="","",'02_Base_Solicitudes'!G86)</f>
        <v/>
      </c>
      <c r="G88" s="23" t="str">
        <f>IF('02_Base_Solicitudes'!A86="","",'02_Base_Solicitudes'!H86)</f>
        <v/>
      </c>
      <c r="H88" s="32" t="str">
        <f>IF('02_Base_Solicitudes'!A86="","",'02_Base_Solicitudes'!I86)</f>
        <v/>
      </c>
      <c r="I88" s="30" t="str">
        <f>IF('02_Base_Solicitudes'!A86="","",'02_Base_Solicitudes'!J86)</f>
        <v/>
      </c>
      <c r="J88" s="23" t="str">
        <f>IF('02_Base_Solicitudes'!A86="","",'02_Base_Solicitudes'!M86)</f>
        <v/>
      </c>
      <c r="K88" s="33" t="str">
        <f>IF('02_Base_Solicitudes'!A86="","",'02_Base_Solicitudes'!K86)</f>
        <v/>
      </c>
      <c r="L88" s="19" t="str">
        <f t="shared" si="17"/>
        <v/>
      </c>
      <c r="M88" s="19"/>
      <c r="N88" s="34" t="str">
        <f t="shared" si="18"/>
        <v/>
      </c>
      <c r="O88" s="19"/>
      <c r="P88" s="34"/>
      <c r="Q88" s="19"/>
      <c r="R88" s="34"/>
      <c r="S88" s="19"/>
      <c r="T88" s="19"/>
      <c r="U88" s="19"/>
      <c r="V88" s="19"/>
      <c r="W88" s="34" t="str">
        <f t="shared" si="24"/>
        <v/>
      </c>
      <c r="X88" s="19"/>
      <c r="Y88" s="34"/>
      <c r="Z88" s="19"/>
      <c r="AA88" s="34"/>
      <c r="AB88" s="34"/>
      <c r="AC88" s="34" t="str">
        <f t="shared" si="19"/>
        <v/>
      </c>
      <c r="AD88" s="19"/>
      <c r="AE88" s="19"/>
      <c r="AF88" s="34" t="str">
        <f>OTMaestraTable[[#This Row],[Solicitante]]</f>
        <v/>
      </c>
      <c r="AG88" s="19"/>
      <c r="AH88" s="19" t="str">
        <f t="shared" si="20"/>
        <v/>
      </c>
      <c r="AI88" s="30" t="str">
        <f t="shared" si="21"/>
        <v/>
      </c>
      <c r="AJ88" s="30" t="str">
        <f t="shared" si="22"/>
        <v/>
      </c>
      <c r="AK88" s="30" t="str">
        <f t="shared" si="23"/>
        <v/>
      </c>
      <c r="AL88" s="19"/>
    </row>
    <row r="89" spans="1:38">
      <c r="A89" s="23" t="str">
        <f>IF('02_Base_Solicitudes'!A87="","",'02_Base_Solicitudes'!R87)</f>
        <v/>
      </c>
      <c r="B89" s="30" t="str">
        <f>IF('02_Base_Solicitudes'!A87="","",'02_Base_Solicitudes'!A87)</f>
        <v/>
      </c>
      <c r="C89" s="23" t="str">
        <f>IF('02_Base_Solicitudes'!A87="","",'02_Base_Solicitudes'!C87)</f>
        <v/>
      </c>
      <c r="D89" s="23" t="str">
        <f>IF('02_Base_Solicitudes'!A87="","",'02_Base_Solicitudes'!D87)</f>
        <v/>
      </c>
      <c r="E89" s="23" t="str">
        <f>IF('02_Base_Solicitudes'!A87="","",'02_Base_Solicitudes'!E87)</f>
        <v/>
      </c>
      <c r="F89" s="23" t="str">
        <f>IF('02_Base_Solicitudes'!A87="","",'02_Base_Solicitudes'!G87)</f>
        <v/>
      </c>
      <c r="G89" s="23" t="str">
        <f>IF('02_Base_Solicitudes'!A87="","",'02_Base_Solicitudes'!H87)</f>
        <v/>
      </c>
      <c r="H89" s="32" t="str">
        <f>IF('02_Base_Solicitudes'!A87="","",'02_Base_Solicitudes'!I87)</f>
        <v/>
      </c>
      <c r="I89" s="30" t="str">
        <f>IF('02_Base_Solicitudes'!A87="","",'02_Base_Solicitudes'!J87)</f>
        <v/>
      </c>
      <c r="J89" s="23" t="str">
        <f>IF('02_Base_Solicitudes'!A87="","",'02_Base_Solicitudes'!M87)</f>
        <v/>
      </c>
      <c r="K89" s="33" t="str">
        <f>IF('02_Base_Solicitudes'!A87="","",'02_Base_Solicitudes'!K87)</f>
        <v/>
      </c>
      <c r="L89" s="19" t="str">
        <f t="shared" si="17"/>
        <v/>
      </c>
      <c r="M89" s="19"/>
      <c r="N89" s="34" t="str">
        <f t="shared" si="18"/>
        <v/>
      </c>
      <c r="O89" s="19"/>
      <c r="P89" s="34"/>
      <c r="Q89" s="19"/>
      <c r="R89" s="34"/>
      <c r="S89" s="19"/>
      <c r="T89" s="19"/>
      <c r="U89" s="19"/>
      <c r="V89" s="19"/>
      <c r="W89" s="34" t="str">
        <f t="shared" si="24"/>
        <v/>
      </c>
      <c r="X89" s="19"/>
      <c r="Y89" s="34"/>
      <c r="Z89" s="19"/>
      <c r="AA89" s="34"/>
      <c r="AB89" s="34"/>
      <c r="AC89" s="34" t="str">
        <f t="shared" si="19"/>
        <v/>
      </c>
      <c r="AD89" s="19"/>
      <c r="AE89" s="19"/>
      <c r="AF89" s="34" t="str">
        <f>OTMaestraTable[[#This Row],[Solicitante]]</f>
        <v/>
      </c>
      <c r="AG89" s="19"/>
      <c r="AH89" s="19" t="str">
        <f t="shared" si="20"/>
        <v/>
      </c>
      <c r="AI89" s="30" t="str">
        <f t="shared" si="21"/>
        <v/>
      </c>
      <c r="AJ89" s="30" t="str">
        <f t="shared" si="22"/>
        <v/>
      </c>
      <c r="AK89" s="30" t="str">
        <f t="shared" si="23"/>
        <v/>
      </c>
      <c r="AL89" s="19"/>
    </row>
    <row r="90" spans="1:38">
      <c r="A90" s="23" t="str">
        <f>IF('02_Base_Solicitudes'!A88="","",'02_Base_Solicitudes'!R88)</f>
        <v/>
      </c>
      <c r="B90" s="30" t="str">
        <f>IF('02_Base_Solicitudes'!A88="","",'02_Base_Solicitudes'!A88)</f>
        <v/>
      </c>
      <c r="C90" s="23" t="str">
        <f>IF('02_Base_Solicitudes'!A88="","",'02_Base_Solicitudes'!C88)</f>
        <v/>
      </c>
      <c r="D90" s="23" t="str">
        <f>IF('02_Base_Solicitudes'!A88="","",'02_Base_Solicitudes'!D88)</f>
        <v/>
      </c>
      <c r="E90" s="23" t="str">
        <f>IF('02_Base_Solicitudes'!A88="","",'02_Base_Solicitudes'!E88)</f>
        <v/>
      </c>
      <c r="F90" s="23" t="str">
        <f>IF('02_Base_Solicitudes'!A88="","",'02_Base_Solicitudes'!G88)</f>
        <v/>
      </c>
      <c r="G90" s="23" t="str">
        <f>IF('02_Base_Solicitudes'!A88="","",'02_Base_Solicitudes'!H88)</f>
        <v/>
      </c>
      <c r="H90" s="32" t="str">
        <f>IF('02_Base_Solicitudes'!A88="","",'02_Base_Solicitudes'!I88)</f>
        <v/>
      </c>
      <c r="I90" s="30" t="str">
        <f>IF('02_Base_Solicitudes'!A88="","",'02_Base_Solicitudes'!J88)</f>
        <v/>
      </c>
      <c r="J90" s="23" t="str">
        <f>IF('02_Base_Solicitudes'!A88="","",'02_Base_Solicitudes'!M88)</f>
        <v/>
      </c>
      <c r="K90" s="33" t="str">
        <f>IF('02_Base_Solicitudes'!A88="","",'02_Base_Solicitudes'!K88)</f>
        <v/>
      </c>
      <c r="L90" s="19" t="str">
        <f t="shared" si="17"/>
        <v/>
      </c>
      <c r="M90" s="19"/>
      <c r="N90" s="34" t="str">
        <f t="shared" si="18"/>
        <v/>
      </c>
      <c r="O90" s="19"/>
      <c r="P90" s="34"/>
      <c r="Q90" s="19"/>
      <c r="R90" s="34"/>
      <c r="S90" s="19"/>
      <c r="T90" s="19"/>
      <c r="U90" s="19"/>
      <c r="V90" s="19"/>
      <c r="W90" s="34" t="str">
        <f t="shared" si="24"/>
        <v/>
      </c>
      <c r="X90" s="19"/>
      <c r="Y90" s="34"/>
      <c r="Z90" s="19"/>
      <c r="AA90" s="34"/>
      <c r="AB90" s="34"/>
      <c r="AC90" s="34" t="str">
        <f t="shared" si="19"/>
        <v/>
      </c>
      <c r="AD90" s="19"/>
      <c r="AE90" s="19"/>
      <c r="AF90" s="34" t="str">
        <f>OTMaestraTable[[#This Row],[Solicitante]]</f>
        <v/>
      </c>
      <c r="AG90" s="19"/>
      <c r="AH90" s="19" t="str">
        <f t="shared" si="20"/>
        <v/>
      </c>
      <c r="AI90" s="30" t="str">
        <f t="shared" si="21"/>
        <v/>
      </c>
      <c r="AJ90" s="30" t="str">
        <f t="shared" si="22"/>
        <v/>
      </c>
      <c r="AK90" s="30" t="str">
        <f t="shared" si="23"/>
        <v/>
      </c>
      <c r="AL90" s="19"/>
    </row>
    <row r="91" spans="1:38">
      <c r="A91" s="23" t="str">
        <f>IF('02_Base_Solicitudes'!A89="","",'02_Base_Solicitudes'!R89)</f>
        <v/>
      </c>
      <c r="B91" s="30" t="str">
        <f>IF('02_Base_Solicitudes'!A89="","",'02_Base_Solicitudes'!A89)</f>
        <v/>
      </c>
      <c r="C91" s="23" t="str">
        <f>IF('02_Base_Solicitudes'!A89="","",'02_Base_Solicitudes'!C89)</f>
        <v/>
      </c>
      <c r="D91" s="23" t="str">
        <f>IF('02_Base_Solicitudes'!A89="","",'02_Base_Solicitudes'!D89)</f>
        <v/>
      </c>
      <c r="E91" s="23" t="str">
        <f>IF('02_Base_Solicitudes'!A89="","",'02_Base_Solicitudes'!E89)</f>
        <v/>
      </c>
      <c r="F91" s="23" t="str">
        <f>IF('02_Base_Solicitudes'!A89="","",'02_Base_Solicitudes'!G89)</f>
        <v/>
      </c>
      <c r="G91" s="23" t="str">
        <f>IF('02_Base_Solicitudes'!A89="","",'02_Base_Solicitudes'!H89)</f>
        <v/>
      </c>
      <c r="H91" s="32" t="str">
        <f>IF('02_Base_Solicitudes'!A89="","",'02_Base_Solicitudes'!I89)</f>
        <v/>
      </c>
      <c r="I91" s="30" t="str">
        <f>IF('02_Base_Solicitudes'!A89="","",'02_Base_Solicitudes'!J89)</f>
        <v/>
      </c>
      <c r="J91" s="23" t="str">
        <f>IF('02_Base_Solicitudes'!A89="","",'02_Base_Solicitudes'!M89)</f>
        <v/>
      </c>
      <c r="K91" s="33" t="str">
        <f>IF('02_Base_Solicitudes'!A89="","",'02_Base_Solicitudes'!K89)</f>
        <v/>
      </c>
      <c r="L91" s="19" t="str">
        <f t="shared" si="17"/>
        <v/>
      </c>
      <c r="M91" s="19"/>
      <c r="N91" s="34" t="str">
        <f t="shared" si="18"/>
        <v/>
      </c>
      <c r="O91" s="19"/>
      <c r="P91" s="34"/>
      <c r="Q91" s="19"/>
      <c r="R91" s="34"/>
      <c r="S91" s="19"/>
      <c r="T91" s="19"/>
      <c r="U91" s="19"/>
      <c r="V91" s="19"/>
      <c r="W91" s="34" t="str">
        <f t="shared" si="24"/>
        <v/>
      </c>
      <c r="X91" s="19"/>
      <c r="Y91" s="34"/>
      <c r="Z91" s="19"/>
      <c r="AA91" s="34"/>
      <c r="AB91" s="34"/>
      <c r="AC91" s="34" t="str">
        <f t="shared" si="19"/>
        <v/>
      </c>
      <c r="AD91" s="19"/>
      <c r="AE91" s="19"/>
      <c r="AF91" s="34" t="str">
        <f>OTMaestraTable[[#This Row],[Solicitante]]</f>
        <v/>
      </c>
      <c r="AG91" s="19"/>
      <c r="AH91" s="19" t="str">
        <f t="shared" si="20"/>
        <v/>
      </c>
      <c r="AI91" s="30" t="str">
        <f t="shared" si="21"/>
        <v/>
      </c>
      <c r="AJ91" s="30" t="str">
        <f t="shared" si="22"/>
        <v/>
      </c>
      <c r="AK91" s="30" t="str">
        <f t="shared" si="23"/>
        <v/>
      </c>
      <c r="AL91" s="19"/>
    </row>
    <row r="92" spans="1:38">
      <c r="A92" s="23" t="str">
        <f>IF('02_Base_Solicitudes'!A90="","",'02_Base_Solicitudes'!R90)</f>
        <v/>
      </c>
      <c r="B92" s="30" t="str">
        <f>IF('02_Base_Solicitudes'!A90="","",'02_Base_Solicitudes'!A90)</f>
        <v/>
      </c>
      <c r="C92" s="23" t="str">
        <f>IF('02_Base_Solicitudes'!A90="","",'02_Base_Solicitudes'!C90)</f>
        <v/>
      </c>
      <c r="D92" s="23" t="str">
        <f>IF('02_Base_Solicitudes'!A90="","",'02_Base_Solicitudes'!D90)</f>
        <v/>
      </c>
      <c r="E92" s="23" t="str">
        <f>IF('02_Base_Solicitudes'!A90="","",'02_Base_Solicitudes'!E90)</f>
        <v/>
      </c>
      <c r="F92" s="23" t="str">
        <f>IF('02_Base_Solicitudes'!A90="","",'02_Base_Solicitudes'!G90)</f>
        <v/>
      </c>
      <c r="G92" s="23" t="str">
        <f>IF('02_Base_Solicitudes'!A90="","",'02_Base_Solicitudes'!H90)</f>
        <v/>
      </c>
      <c r="H92" s="32" t="str">
        <f>IF('02_Base_Solicitudes'!A90="","",'02_Base_Solicitudes'!I90)</f>
        <v/>
      </c>
      <c r="I92" s="30" t="str">
        <f>IF('02_Base_Solicitudes'!A90="","",'02_Base_Solicitudes'!J90)</f>
        <v/>
      </c>
      <c r="J92" s="23" t="str">
        <f>IF('02_Base_Solicitudes'!A90="","",'02_Base_Solicitudes'!M90)</f>
        <v/>
      </c>
      <c r="K92" s="33" t="str">
        <f>IF('02_Base_Solicitudes'!A90="","",'02_Base_Solicitudes'!K90)</f>
        <v/>
      </c>
      <c r="L92" s="19" t="str">
        <f t="shared" si="17"/>
        <v/>
      </c>
      <c r="M92" s="19"/>
      <c r="N92" s="34" t="str">
        <f t="shared" si="18"/>
        <v/>
      </c>
      <c r="O92" s="19"/>
      <c r="P92" s="34"/>
      <c r="Q92" s="19"/>
      <c r="R92" s="34"/>
      <c r="S92" s="19"/>
      <c r="T92" s="19"/>
      <c r="U92" s="19"/>
      <c r="V92" s="19"/>
      <c r="W92" s="34" t="str">
        <f t="shared" si="24"/>
        <v/>
      </c>
      <c r="X92" s="19"/>
      <c r="Y92" s="34"/>
      <c r="Z92" s="19"/>
      <c r="AA92" s="34"/>
      <c r="AB92" s="34"/>
      <c r="AC92" s="34" t="str">
        <f t="shared" si="19"/>
        <v/>
      </c>
      <c r="AD92" s="19"/>
      <c r="AE92" s="19"/>
      <c r="AF92" s="34" t="str">
        <f>OTMaestraTable[[#This Row],[Solicitante]]</f>
        <v/>
      </c>
      <c r="AG92" s="19"/>
      <c r="AH92" s="19" t="str">
        <f t="shared" si="20"/>
        <v/>
      </c>
      <c r="AI92" s="30" t="str">
        <f t="shared" si="21"/>
        <v/>
      </c>
      <c r="AJ92" s="30" t="str">
        <f t="shared" si="22"/>
        <v/>
      </c>
      <c r="AK92" s="30" t="str">
        <f t="shared" si="23"/>
        <v/>
      </c>
      <c r="AL92" s="19"/>
    </row>
    <row r="93" spans="1:38">
      <c r="A93" s="23" t="str">
        <f>IF('02_Base_Solicitudes'!A91="","",'02_Base_Solicitudes'!R91)</f>
        <v/>
      </c>
      <c r="B93" s="30" t="str">
        <f>IF('02_Base_Solicitudes'!A91="","",'02_Base_Solicitudes'!A91)</f>
        <v/>
      </c>
      <c r="C93" s="23" t="str">
        <f>IF('02_Base_Solicitudes'!A91="","",'02_Base_Solicitudes'!C91)</f>
        <v/>
      </c>
      <c r="D93" s="23" t="str">
        <f>IF('02_Base_Solicitudes'!A91="","",'02_Base_Solicitudes'!D91)</f>
        <v/>
      </c>
      <c r="E93" s="23" t="str">
        <f>IF('02_Base_Solicitudes'!A91="","",'02_Base_Solicitudes'!E91)</f>
        <v/>
      </c>
      <c r="F93" s="23" t="str">
        <f>IF('02_Base_Solicitudes'!A91="","",'02_Base_Solicitudes'!G91)</f>
        <v/>
      </c>
      <c r="G93" s="23" t="str">
        <f>IF('02_Base_Solicitudes'!A91="","",'02_Base_Solicitudes'!H91)</f>
        <v/>
      </c>
      <c r="H93" s="32" t="str">
        <f>IF('02_Base_Solicitudes'!A91="","",'02_Base_Solicitudes'!I91)</f>
        <v/>
      </c>
      <c r="I93" s="30" t="str">
        <f>IF('02_Base_Solicitudes'!A91="","",'02_Base_Solicitudes'!J91)</f>
        <v/>
      </c>
      <c r="J93" s="23" t="str">
        <f>IF('02_Base_Solicitudes'!A91="","",'02_Base_Solicitudes'!M91)</f>
        <v/>
      </c>
      <c r="K93" s="33" t="str">
        <f>IF('02_Base_Solicitudes'!A91="","",'02_Base_Solicitudes'!K91)</f>
        <v/>
      </c>
      <c r="L93" s="19" t="str">
        <f t="shared" si="17"/>
        <v/>
      </c>
      <c r="M93" s="19"/>
      <c r="N93" s="34" t="str">
        <f t="shared" si="18"/>
        <v/>
      </c>
      <c r="O93" s="19"/>
      <c r="P93" s="34"/>
      <c r="Q93" s="19"/>
      <c r="R93" s="34"/>
      <c r="S93" s="19"/>
      <c r="T93" s="19"/>
      <c r="U93" s="19"/>
      <c r="V93" s="19"/>
      <c r="W93" s="34" t="str">
        <f t="shared" si="24"/>
        <v/>
      </c>
      <c r="X93" s="19"/>
      <c r="Y93" s="34"/>
      <c r="Z93" s="19"/>
      <c r="AA93" s="34"/>
      <c r="AB93" s="34"/>
      <c r="AC93" s="34" t="str">
        <f t="shared" si="19"/>
        <v/>
      </c>
      <c r="AD93" s="19"/>
      <c r="AE93" s="19"/>
      <c r="AF93" s="34" t="str">
        <f>OTMaestraTable[[#This Row],[Solicitante]]</f>
        <v/>
      </c>
      <c r="AG93" s="19"/>
      <c r="AH93" s="19" t="str">
        <f t="shared" si="20"/>
        <v/>
      </c>
      <c r="AI93" s="30" t="str">
        <f t="shared" si="21"/>
        <v/>
      </c>
      <c r="AJ93" s="30" t="str">
        <f t="shared" si="22"/>
        <v/>
      </c>
      <c r="AK93" s="30" t="str">
        <f t="shared" si="23"/>
        <v/>
      </c>
      <c r="AL93" s="19"/>
    </row>
    <row r="94" spans="1:38">
      <c r="A94" s="23" t="str">
        <f>IF('02_Base_Solicitudes'!A92="","",'02_Base_Solicitudes'!R92)</f>
        <v/>
      </c>
      <c r="B94" s="30" t="str">
        <f>IF('02_Base_Solicitudes'!A92="","",'02_Base_Solicitudes'!A92)</f>
        <v/>
      </c>
      <c r="C94" s="23" t="str">
        <f>IF('02_Base_Solicitudes'!A92="","",'02_Base_Solicitudes'!C92)</f>
        <v/>
      </c>
      <c r="D94" s="23" t="str">
        <f>IF('02_Base_Solicitudes'!A92="","",'02_Base_Solicitudes'!D92)</f>
        <v/>
      </c>
      <c r="E94" s="23" t="str">
        <f>IF('02_Base_Solicitudes'!A92="","",'02_Base_Solicitudes'!E92)</f>
        <v/>
      </c>
      <c r="F94" s="23" t="str">
        <f>IF('02_Base_Solicitudes'!A92="","",'02_Base_Solicitudes'!G92)</f>
        <v/>
      </c>
      <c r="G94" s="23" t="str">
        <f>IF('02_Base_Solicitudes'!A92="","",'02_Base_Solicitudes'!H92)</f>
        <v/>
      </c>
      <c r="H94" s="32" t="str">
        <f>IF('02_Base_Solicitudes'!A92="","",'02_Base_Solicitudes'!I92)</f>
        <v/>
      </c>
      <c r="I94" s="30" t="str">
        <f>IF('02_Base_Solicitudes'!A92="","",'02_Base_Solicitudes'!J92)</f>
        <v/>
      </c>
      <c r="J94" s="23" t="str">
        <f>IF('02_Base_Solicitudes'!A92="","",'02_Base_Solicitudes'!M92)</f>
        <v/>
      </c>
      <c r="K94" s="33" t="str">
        <f>IF('02_Base_Solicitudes'!A92="","",'02_Base_Solicitudes'!K92)</f>
        <v/>
      </c>
      <c r="L94" s="19" t="str">
        <f t="shared" si="17"/>
        <v/>
      </c>
      <c r="M94" s="19"/>
      <c r="N94" s="34" t="str">
        <f t="shared" si="18"/>
        <v/>
      </c>
      <c r="O94" s="19"/>
      <c r="P94" s="34"/>
      <c r="Q94" s="19"/>
      <c r="R94" s="34"/>
      <c r="S94" s="19"/>
      <c r="T94" s="19"/>
      <c r="U94" s="19"/>
      <c r="V94" s="19"/>
      <c r="W94" s="34" t="str">
        <f t="shared" si="24"/>
        <v/>
      </c>
      <c r="X94" s="19"/>
      <c r="Y94" s="34"/>
      <c r="Z94" s="19"/>
      <c r="AA94" s="34"/>
      <c r="AB94" s="34"/>
      <c r="AC94" s="34" t="str">
        <f t="shared" si="19"/>
        <v/>
      </c>
      <c r="AD94" s="19"/>
      <c r="AE94" s="19"/>
      <c r="AF94" s="34" t="str">
        <f>OTMaestraTable[[#This Row],[Solicitante]]</f>
        <v/>
      </c>
      <c r="AG94" s="19"/>
      <c r="AH94" s="19" t="str">
        <f t="shared" si="20"/>
        <v/>
      </c>
      <c r="AI94" s="30" t="str">
        <f t="shared" si="21"/>
        <v/>
      </c>
      <c r="AJ94" s="30" t="str">
        <f t="shared" si="22"/>
        <v/>
      </c>
      <c r="AK94" s="30" t="str">
        <f t="shared" si="23"/>
        <v/>
      </c>
      <c r="AL94" s="19"/>
    </row>
    <row r="95" spans="1:38">
      <c r="A95" s="23" t="str">
        <f>IF('02_Base_Solicitudes'!A93="","",'02_Base_Solicitudes'!R93)</f>
        <v/>
      </c>
      <c r="B95" s="30" t="str">
        <f>IF('02_Base_Solicitudes'!A93="","",'02_Base_Solicitudes'!A93)</f>
        <v/>
      </c>
      <c r="C95" s="23" t="str">
        <f>IF('02_Base_Solicitudes'!A93="","",'02_Base_Solicitudes'!C93)</f>
        <v/>
      </c>
      <c r="D95" s="23" t="str">
        <f>IF('02_Base_Solicitudes'!A93="","",'02_Base_Solicitudes'!D93)</f>
        <v/>
      </c>
      <c r="E95" s="23" t="str">
        <f>IF('02_Base_Solicitudes'!A93="","",'02_Base_Solicitudes'!E93)</f>
        <v/>
      </c>
      <c r="F95" s="23" t="str">
        <f>IF('02_Base_Solicitudes'!A93="","",'02_Base_Solicitudes'!G93)</f>
        <v/>
      </c>
      <c r="G95" s="23" t="str">
        <f>IF('02_Base_Solicitudes'!A93="","",'02_Base_Solicitudes'!H93)</f>
        <v/>
      </c>
      <c r="H95" s="32" t="str">
        <f>IF('02_Base_Solicitudes'!A93="","",'02_Base_Solicitudes'!I93)</f>
        <v/>
      </c>
      <c r="I95" s="30" t="str">
        <f>IF('02_Base_Solicitudes'!A93="","",'02_Base_Solicitudes'!J93)</f>
        <v/>
      </c>
      <c r="J95" s="23" t="str">
        <f>IF('02_Base_Solicitudes'!A93="","",'02_Base_Solicitudes'!M93)</f>
        <v/>
      </c>
      <c r="K95" s="33" t="str">
        <f>IF('02_Base_Solicitudes'!A93="","",'02_Base_Solicitudes'!K93)</f>
        <v/>
      </c>
      <c r="L95" s="19" t="str">
        <f t="shared" si="17"/>
        <v/>
      </c>
      <c r="M95" s="19"/>
      <c r="N95" s="34" t="str">
        <f t="shared" si="18"/>
        <v/>
      </c>
      <c r="O95" s="19"/>
      <c r="P95" s="34"/>
      <c r="Q95" s="19"/>
      <c r="R95" s="34"/>
      <c r="S95" s="19"/>
      <c r="T95" s="19"/>
      <c r="U95" s="19"/>
      <c r="V95" s="19"/>
      <c r="W95" s="34" t="str">
        <f t="shared" si="24"/>
        <v/>
      </c>
      <c r="X95" s="19"/>
      <c r="Y95" s="34"/>
      <c r="Z95" s="19"/>
      <c r="AA95" s="34"/>
      <c r="AB95" s="34"/>
      <c r="AC95" s="34" t="str">
        <f t="shared" si="19"/>
        <v/>
      </c>
      <c r="AD95" s="19"/>
      <c r="AE95" s="19"/>
      <c r="AF95" s="34" t="str">
        <f>OTMaestraTable[[#This Row],[Solicitante]]</f>
        <v/>
      </c>
      <c r="AG95" s="19"/>
      <c r="AH95" s="19" t="str">
        <f t="shared" si="20"/>
        <v/>
      </c>
      <c r="AI95" s="30" t="str">
        <f t="shared" si="21"/>
        <v/>
      </c>
      <c r="AJ95" s="30" t="str">
        <f t="shared" si="22"/>
        <v/>
      </c>
      <c r="AK95" s="30" t="str">
        <f t="shared" si="23"/>
        <v/>
      </c>
      <c r="AL95" s="19"/>
    </row>
    <row r="96" spans="1:38">
      <c r="A96" s="23" t="str">
        <f>IF('02_Base_Solicitudes'!A94="","",'02_Base_Solicitudes'!R94)</f>
        <v/>
      </c>
      <c r="B96" s="30" t="str">
        <f>IF('02_Base_Solicitudes'!A94="","",'02_Base_Solicitudes'!A94)</f>
        <v/>
      </c>
      <c r="C96" s="23" t="str">
        <f>IF('02_Base_Solicitudes'!A94="","",'02_Base_Solicitudes'!C94)</f>
        <v/>
      </c>
      <c r="D96" s="23" t="str">
        <f>IF('02_Base_Solicitudes'!A94="","",'02_Base_Solicitudes'!D94)</f>
        <v/>
      </c>
      <c r="E96" s="23" t="str">
        <f>IF('02_Base_Solicitudes'!A94="","",'02_Base_Solicitudes'!E94)</f>
        <v/>
      </c>
      <c r="F96" s="23" t="str">
        <f>IF('02_Base_Solicitudes'!A94="","",'02_Base_Solicitudes'!G94)</f>
        <v/>
      </c>
      <c r="G96" s="23" t="str">
        <f>IF('02_Base_Solicitudes'!A94="","",'02_Base_Solicitudes'!H94)</f>
        <v/>
      </c>
      <c r="H96" s="32" t="str">
        <f>IF('02_Base_Solicitudes'!A94="","",'02_Base_Solicitudes'!I94)</f>
        <v/>
      </c>
      <c r="I96" s="30" t="str">
        <f>IF('02_Base_Solicitudes'!A94="","",'02_Base_Solicitudes'!J94)</f>
        <v/>
      </c>
      <c r="J96" s="23" t="str">
        <f>IF('02_Base_Solicitudes'!A94="","",'02_Base_Solicitudes'!M94)</f>
        <v/>
      </c>
      <c r="K96" s="33" t="str">
        <f>IF('02_Base_Solicitudes'!A94="","",'02_Base_Solicitudes'!K94)</f>
        <v/>
      </c>
      <c r="L96" s="19" t="str">
        <f t="shared" si="17"/>
        <v/>
      </c>
      <c r="M96" s="19"/>
      <c r="N96" s="34" t="str">
        <f t="shared" si="18"/>
        <v/>
      </c>
      <c r="O96" s="19"/>
      <c r="P96" s="34"/>
      <c r="Q96" s="19"/>
      <c r="R96" s="34"/>
      <c r="S96" s="19"/>
      <c r="T96" s="19"/>
      <c r="U96" s="19"/>
      <c r="V96" s="19"/>
      <c r="W96" s="34" t="str">
        <f t="shared" si="24"/>
        <v/>
      </c>
      <c r="X96" s="19"/>
      <c r="Y96" s="34"/>
      <c r="Z96" s="19"/>
      <c r="AA96" s="34"/>
      <c r="AB96" s="34"/>
      <c r="AC96" s="34" t="str">
        <f t="shared" si="19"/>
        <v/>
      </c>
      <c r="AD96" s="19"/>
      <c r="AE96" s="19"/>
      <c r="AF96" s="34" t="str">
        <f>OTMaestraTable[[#This Row],[Solicitante]]</f>
        <v/>
      </c>
      <c r="AG96" s="19"/>
      <c r="AH96" s="19" t="str">
        <f t="shared" si="20"/>
        <v/>
      </c>
      <c r="AI96" s="30" t="str">
        <f t="shared" si="21"/>
        <v/>
      </c>
      <c r="AJ96" s="30" t="str">
        <f t="shared" si="22"/>
        <v/>
      </c>
      <c r="AK96" s="30" t="str">
        <f t="shared" si="23"/>
        <v/>
      </c>
      <c r="AL96" s="19"/>
    </row>
    <row r="97" spans="1:38">
      <c r="A97" s="23" t="str">
        <f>IF('02_Base_Solicitudes'!A95="","",'02_Base_Solicitudes'!R95)</f>
        <v/>
      </c>
      <c r="B97" s="30" t="str">
        <f>IF('02_Base_Solicitudes'!A95="","",'02_Base_Solicitudes'!A95)</f>
        <v/>
      </c>
      <c r="C97" s="23" t="str">
        <f>IF('02_Base_Solicitudes'!A95="","",'02_Base_Solicitudes'!C95)</f>
        <v/>
      </c>
      <c r="D97" s="23" t="str">
        <f>IF('02_Base_Solicitudes'!A95="","",'02_Base_Solicitudes'!D95)</f>
        <v/>
      </c>
      <c r="E97" s="23" t="str">
        <f>IF('02_Base_Solicitudes'!A95="","",'02_Base_Solicitudes'!E95)</f>
        <v/>
      </c>
      <c r="F97" s="23" t="str">
        <f>IF('02_Base_Solicitudes'!A95="","",'02_Base_Solicitudes'!G95)</f>
        <v/>
      </c>
      <c r="G97" s="23" t="str">
        <f>IF('02_Base_Solicitudes'!A95="","",'02_Base_Solicitudes'!H95)</f>
        <v/>
      </c>
      <c r="H97" s="32" t="str">
        <f>IF('02_Base_Solicitudes'!A95="","",'02_Base_Solicitudes'!I95)</f>
        <v/>
      </c>
      <c r="I97" s="30" t="str">
        <f>IF('02_Base_Solicitudes'!A95="","",'02_Base_Solicitudes'!J95)</f>
        <v/>
      </c>
      <c r="J97" s="23" t="str">
        <f>IF('02_Base_Solicitudes'!A95="","",'02_Base_Solicitudes'!M95)</f>
        <v/>
      </c>
      <c r="K97" s="33" t="str">
        <f>IF('02_Base_Solicitudes'!A95="","",'02_Base_Solicitudes'!K95)</f>
        <v/>
      </c>
      <c r="L97" s="19" t="str">
        <f t="shared" si="17"/>
        <v/>
      </c>
      <c r="M97" s="19"/>
      <c r="N97" s="34" t="str">
        <f t="shared" si="18"/>
        <v/>
      </c>
      <c r="O97" s="19"/>
      <c r="P97" s="34"/>
      <c r="Q97" s="19"/>
      <c r="R97" s="34"/>
      <c r="S97" s="19"/>
      <c r="T97" s="19"/>
      <c r="U97" s="19"/>
      <c r="V97" s="19"/>
      <c r="W97" s="34" t="str">
        <f t="shared" si="24"/>
        <v/>
      </c>
      <c r="X97" s="19"/>
      <c r="Y97" s="34"/>
      <c r="Z97" s="19"/>
      <c r="AA97" s="34"/>
      <c r="AB97" s="34"/>
      <c r="AC97" s="34" t="str">
        <f t="shared" si="19"/>
        <v/>
      </c>
      <c r="AD97" s="19"/>
      <c r="AE97" s="19"/>
      <c r="AF97" s="34" t="str">
        <f>OTMaestraTable[[#This Row],[Solicitante]]</f>
        <v/>
      </c>
      <c r="AG97" s="19"/>
      <c r="AH97" s="19" t="str">
        <f t="shared" si="20"/>
        <v/>
      </c>
      <c r="AI97" s="30" t="str">
        <f t="shared" si="21"/>
        <v/>
      </c>
      <c r="AJ97" s="30" t="str">
        <f t="shared" si="22"/>
        <v/>
      </c>
      <c r="AK97" s="30" t="str">
        <f t="shared" si="23"/>
        <v/>
      </c>
      <c r="AL97" s="19"/>
    </row>
    <row r="98" spans="1:38">
      <c r="A98" s="23" t="str">
        <f>IF('02_Base_Solicitudes'!A96="","",'02_Base_Solicitudes'!R96)</f>
        <v/>
      </c>
      <c r="B98" s="30" t="str">
        <f>IF('02_Base_Solicitudes'!A96="","",'02_Base_Solicitudes'!A96)</f>
        <v/>
      </c>
      <c r="C98" s="23" t="str">
        <f>IF('02_Base_Solicitudes'!A96="","",'02_Base_Solicitudes'!C96)</f>
        <v/>
      </c>
      <c r="D98" s="23" t="str">
        <f>IF('02_Base_Solicitudes'!A96="","",'02_Base_Solicitudes'!D96)</f>
        <v/>
      </c>
      <c r="E98" s="23" t="str">
        <f>IF('02_Base_Solicitudes'!A96="","",'02_Base_Solicitudes'!E96)</f>
        <v/>
      </c>
      <c r="F98" s="23" t="str">
        <f>IF('02_Base_Solicitudes'!A96="","",'02_Base_Solicitudes'!G96)</f>
        <v/>
      </c>
      <c r="G98" s="23" t="str">
        <f>IF('02_Base_Solicitudes'!A96="","",'02_Base_Solicitudes'!H96)</f>
        <v/>
      </c>
      <c r="H98" s="32" t="str">
        <f>IF('02_Base_Solicitudes'!A96="","",'02_Base_Solicitudes'!I96)</f>
        <v/>
      </c>
      <c r="I98" s="30" t="str">
        <f>IF('02_Base_Solicitudes'!A96="","",'02_Base_Solicitudes'!J96)</f>
        <v/>
      </c>
      <c r="J98" s="23" t="str">
        <f>IF('02_Base_Solicitudes'!A96="","",'02_Base_Solicitudes'!M96)</f>
        <v/>
      </c>
      <c r="K98" s="33" t="str">
        <f>IF('02_Base_Solicitudes'!A96="","",'02_Base_Solicitudes'!K96)</f>
        <v/>
      </c>
      <c r="L98" s="19" t="str">
        <f t="shared" si="17"/>
        <v/>
      </c>
      <c r="M98" s="19"/>
      <c r="N98" s="34" t="str">
        <f t="shared" si="18"/>
        <v/>
      </c>
      <c r="O98" s="19"/>
      <c r="P98" s="34"/>
      <c r="Q98" s="19"/>
      <c r="R98" s="34"/>
      <c r="S98" s="19"/>
      <c r="T98" s="19"/>
      <c r="U98" s="19"/>
      <c r="V98" s="19"/>
      <c r="W98" s="34" t="str">
        <f t="shared" si="24"/>
        <v/>
      </c>
      <c r="X98" s="19"/>
      <c r="Y98" s="34"/>
      <c r="Z98" s="19"/>
      <c r="AA98" s="34"/>
      <c r="AB98" s="34"/>
      <c r="AC98" s="34" t="str">
        <f t="shared" si="19"/>
        <v/>
      </c>
      <c r="AD98" s="19"/>
      <c r="AE98" s="19"/>
      <c r="AF98" s="34" t="str">
        <f>OTMaestraTable[[#This Row],[Solicitante]]</f>
        <v/>
      </c>
      <c r="AG98" s="19"/>
      <c r="AH98" s="19" t="str">
        <f t="shared" si="20"/>
        <v/>
      </c>
      <c r="AI98" s="30" t="str">
        <f t="shared" si="21"/>
        <v/>
      </c>
      <c r="AJ98" s="30" t="str">
        <f t="shared" si="22"/>
        <v/>
      </c>
      <c r="AK98" s="30" t="str">
        <f t="shared" si="23"/>
        <v/>
      </c>
      <c r="AL98" s="19"/>
    </row>
    <row r="99" spans="1:38">
      <c r="A99" s="23" t="str">
        <f>IF('02_Base_Solicitudes'!A97="","",'02_Base_Solicitudes'!R97)</f>
        <v/>
      </c>
      <c r="B99" s="30" t="str">
        <f>IF('02_Base_Solicitudes'!A97="","",'02_Base_Solicitudes'!A97)</f>
        <v/>
      </c>
      <c r="C99" s="23" t="str">
        <f>IF('02_Base_Solicitudes'!A97="","",'02_Base_Solicitudes'!C97)</f>
        <v/>
      </c>
      <c r="D99" s="23" t="str">
        <f>IF('02_Base_Solicitudes'!A97="","",'02_Base_Solicitudes'!D97)</f>
        <v/>
      </c>
      <c r="E99" s="23" t="str">
        <f>IF('02_Base_Solicitudes'!A97="","",'02_Base_Solicitudes'!E97)</f>
        <v/>
      </c>
      <c r="F99" s="23" t="str">
        <f>IF('02_Base_Solicitudes'!A97="","",'02_Base_Solicitudes'!G97)</f>
        <v/>
      </c>
      <c r="G99" s="23" t="str">
        <f>IF('02_Base_Solicitudes'!A97="","",'02_Base_Solicitudes'!H97)</f>
        <v/>
      </c>
      <c r="H99" s="32" t="str">
        <f>IF('02_Base_Solicitudes'!A97="","",'02_Base_Solicitudes'!I97)</f>
        <v/>
      </c>
      <c r="I99" s="30" t="str">
        <f>IF('02_Base_Solicitudes'!A97="","",'02_Base_Solicitudes'!J97)</f>
        <v/>
      </c>
      <c r="J99" s="23" t="str">
        <f>IF('02_Base_Solicitudes'!A97="","",'02_Base_Solicitudes'!M97)</f>
        <v/>
      </c>
      <c r="K99" s="33" t="str">
        <f>IF('02_Base_Solicitudes'!A97="","",'02_Base_Solicitudes'!K97)</f>
        <v/>
      </c>
      <c r="L99" s="19" t="str">
        <f t="shared" si="17"/>
        <v/>
      </c>
      <c r="M99" s="19"/>
      <c r="N99" s="34" t="str">
        <f t="shared" si="18"/>
        <v/>
      </c>
      <c r="O99" s="19"/>
      <c r="P99" s="34"/>
      <c r="Q99" s="19"/>
      <c r="R99" s="34"/>
      <c r="S99" s="19"/>
      <c r="T99" s="19"/>
      <c r="U99" s="19"/>
      <c r="V99" s="19"/>
      <c r="W99" s="34" t="str">
        <f t="shared" si="24"/>
        <v/>
      </c>
      <c r="X99" s="19"/>
      <c r="Y99" s="34"/>
      <c r="Z99" s="19"/>
      <c r="AA99" s="34"/>
      <c r="AB99" s="34"/>
      <c r="AC99" s="34" t="str">
        <f t="shared" si="19"/>
        <v/>
      </c>
      <c r="AD99" s="19"/>
      <c r="AE99" s="19"/>
      <c r="AF99" s="34" t="str">
        <f>OTMaestraTable[[#This Row],[Solicitante]]</f>
        <v/>
      </c>
      <c r="AG99" s="19"/>
      <c r="AH99" s="19" t="str">
        <f t="shared" si="20"/>
        <v/>
      </c>
      <c r="AI99" s="30" t="str">
        <f t="shared" si="21"/>
        <v/>
      </c>
      <c r="AJ99" s="30" t="str">
        <f t="shared" si="22"/>
        <v/>
      </c>
      <c r="AK99" s="30" t="str">
        <f t="shared" si="23"/>
        <v/>
      </c>
      <c r="AL99" s="19"/>
    </row>
    <row r="100" spans="1:38">
      <c r="A100" s="23" t="str">
        <f>IF('02_Base_Solicitudes'!A98="","",'02_Base_Solicitudes'!R98)</f>
        <v/>
      </c>
      <c r="B100" s="30" t="str">
        <f>IF('02_Base_Solicitudes'!A98="","",'02_Base_Solicitudes'!A98)</f>
        <v/>
      </c>
      <c r="C100" s="23" t="str">
        <f>IF('02_Base_Solicitudes'!A98="","",'02_Base_Solicitudes'!C98)</f>
        <v/>
      </c>
      <c r="D100" s="23" t="str">
        <f>IF('02_Base_Solicitudes'!A98="","",'02_Base_Solicitudes'!D98)</f>
        <v/>
      </c>
      <c r="E100" s="23" t="str">
        <f>IF('02_Base_Solicitudes'!A98="","",'02_Base_Solicitudes'!E98)</f>
        <v/>
      </c>
      <c r="F100" s="23" t="str">
        <f>IF('02_Base_Solicitudes'!A98="","",'02_Base_Solicitudes'!G98)</f>
        <v/>
      </c>
      <c r="G100" s="23" t="str">
        <f>IF('02_Base_Solicitudes'!A98="","",'02_Base_Solicitudes'!H98)</f>
        <v/>
      </c>
      <c r="H100" s="32" t="str">
        <f>IF('02_Base_Solicitudes'!A98="","",'02_Base_Solicitudes'!I98)</f>
        <v/>
      </c>
      <c r="I100" s="30" t="str">
        <f>IF('02_Base_Solicitudes'!A98="","",'02_Base_Solicitudes'!J98)</f>
        <v/>
      </c>
      <c r="J100" s="23" t="str">
        <f>IF('02_Base_Solicitudes'!A98="","",'02_Base_Solicitudes'!M98)</f>
        <v/>
      </c>
      <c r="K100" s="33" t="str">
        <f>IF('02_Base_Solicitudes'!A98="","",'02_Base_Solicitudes'!K98)</f>
        <v/>
      </c>
      <c r="L100" s="19" t="str">
        <f t="shared" ref="L100:L131" si="25">IF($A100="","","Julio Rivera")</f>
        <v/>
      </c>
      <c r="M100" s="19"/>
      <c r="N100" s="34" t="str">
        <f t="shared" ref="N100:N131" si="26">IF($A100="","","No")</f>
        <v/>
      </c>
      <c r="O100" s="19"/>
      <c r="P100" s="34"/>
      <c r="Q100" s="19"/>
      <c r="R100" s="34"/>
      <c r="S100" s="19"/>
      <c r="T100" s="19"/>
      <c r="U100" s="19"/>
      <c r="V100" s="19"/>
      <c r="W100" s="34" t="str">
        <f t="shared" si="24"/>
        <v/>
      </c>
      <c r="X100" s="19"/>
      <c r="Y100" s="34"/>
      <c r="Z100" s="19"/>
      <c r="AA100" s="34"/>
      <c r="AB100" s="34"/>
      <c r="AC100" s="34" t="str">
        <f t="shared" ref="AC100:AC131" si="27">IF($A100="","","Pendiente")</f>
        <v/>
      </c>
      <c r="AD100" s="19"/>
      <c r="AE100" s="19"/>
      <c r="AF100" s="34" t="str">
        <f>OTMaestraTable[[#This Row],[Solicitante]]</f>
        <v/>
      </c>
      <c r="AG100" s="19"/>
      <c r="AH100" s="19" t="str">
        <f t="shared" ref="AH100:AH131" si="28">IF($A100="","","Abierta")</f>
        <v/>
      </c>
      <c r="AI100" s="30" t="str">
        <f t="shared" ref="AI100:AI131" si="29">IF(AND(C100&lt;&gt;"",AG100&lt;&gt;""),AG100-C100,"")</f>
        <v/>
      </c>
      <c r="AJ100" s="30" t="str">
        <f t="shared" ref="AJ100:AJ131" si="30">IF(A100="","",IF(AND(AG100&lt;&gt;"",K100&lt;&gt;""),IF(AG100&lt;=K100,"Sí","No"),"Pendiente"))</f>
        <v/>
      </c>
      <c r="AK100" s="30" t="str">
        <f t="shared" ref="AK100:AK131" si="31">IF(A100="","",IF(AND($AH100="Cerrada",OR($AE100="",$AF100="",$AG100="")),"⚠ Cerrada incompleta",IF(AND($AH100&lt;&gt;"Cerrada",$AG100&lt;&gt;""),"⚠ Fecha cierre con estado abierto","OK")))</f>
        <v/>
      </c>
      <c r="AL100" s="19"/>
    </row>
    <row r="101" spans="1:38">
      <c r="A101" s="23" t="str">
        <f>IF('02_Base_Solicitudes'!A99="","",'02_Base_Solicitudes'!R99)</f>
        <v/>
      </c>
      <c r="B101" s="30" t="str">
        <f>IF('02_Base_Solicitudes'!A99="","",'02_Base_Solicitudes'!A99)</f>
        <v/>
      </c>
      <c r="C101" s="23" t="str">
        <f>IF('02_Base_Solicitudes'!A99="","",'02_Base_Solicitudes'!C99)</f>
        <v/>
      </c>
      <c r="D101" s="23" t="str">
        <f>IF('02_Base_Solicitudes'!A99="","",'02_Base_Solicitudes'!D99)</f>
        <v/>
      </c>
      <c r="E101" s="23" t="str">
        <f>IF('02_Base_Solicitudes'!A99="","",'02_Base_Solicitudes'!E99)</f>
        <v/>
      </c>
      <c r="F101" s="23" t="str">
        <f>IF('02_Base_Solicitudes'!A99="","",'02_Base_Solicitudes'!G99)</f>
        <v/>
      </c>
      <c r="G101" s="23" t="str">
        <f>IF('02_Base_Solicitudes'!A99="","",'02_Base_Solicitudes'!H99)</f>
        <v/>
      </c>
      <c r="H101" s="32" t="str">
        <f>IF('02_Base_Solicitudes'!A99="","",'02_Base_Solicitudes'!I99)</f>
        <v/>
      </c>
      <c r="I101" s="30" t="str">
        <f>IF('02_Base_Solicitudes'!A99="","",'02_Base_Solicitudes'!J99)</f>
        <v/>
      </c>
      <c r="J101" s="23" t="str">
        <f>IF('02_Base_Solicitudes'!A99="","",'02_Base_Solicitudes'!M99)</f>
        <v/>
      </c>
      <c r="K101" s="33" t="str">
        <f>IF('02_Base_Solicitudes'!A99="","",'02_Base_Solicitudes'!K99)</f>
        <v/>
      </c>
      <c r="L101" s="19" t="str">
        <f t="shared" si="25"/>
        <v/>
      </c>
      <c r="M101" s="19"/>
      <c r="N101" s="34" t="str">
        <f t="shared" si="26"/>
        <v/>
      </c>
      <c r="O101" s="19"/>
      <c r="P101" s="34"/>
      <c r="Q101" s="19"/>
      <c r="R101" s="34"/>
      <c r="S101" s="19"/>
      <c r="T101" s="19"/>
      <c r="U101" s="19"/>
      <c r="V101" s="19"/>
      <c r="W101" s="34" t="str">
        <f t="shared" si="24"/>
        <v/>
      </c>
      <c r="X101" s="19"/>
      <c r="Y101" s="34"/>
      <c r="Z101" s="19"/>
      <c r="AA101" s="34"/>
      <c r="AB101" s="34"/>
      <c r="AC101" s="34" t="str">
        <f t="shared" si="27"/>
        <v/>
      </c>
      <c r="AD101" s="19"/>
      <c r="AE101" s="19"/>
      <c r="AF101" s="34" t="str">
        <f>OTMaestraTable[[#This Row],[Solicitante]]</f>
        <v/>
      </c>
      <c r="AG101" s="19"/>
      <c r="AH101" s="19" t="str">
        <f t="shared" si="28"/>
        <v/>
      </c>
      <c r="AI101" s="30" t="str">
        <f t="shared" si="29"/>
        <v/>
      </c>
      <c r="AJ101" s="30" t="str">
        <f t="shared" si="30"/>
        <v/>
      </c>
      <c r="AK101" s="30" t="str">
        <f t="shared" si="31"/>
        <v/>
      </c>
      <c r="AL101" s="19"/>
    </row>
    <row r="102" spans="1:38">
      <c r="A102" s="23" t="str">
        <f>IF('02_Base_Solicitudes'!A100="","",'02_Base_Solicitudes'!R100)</f>
        <v/>
      </c>
      <c r="B102" s="30" t="str">
        <f>IF('02_Base_Solicitudes'!A100="","",'02_Base_Solicitudes'!A100)</f>
        <v/>
      </c>
      <c r="C102" s="23" t="str">
        <f>IF('02_Base_Solicitudes'!A100="","",'02_Base_Solicitudes'!C100)</f>
        <v/>
      </c>
      <c r="D102" s="23" t="str">
        <f>IF('02_Base_Solicitudes'!A100="","",'02_Base_Solicitudes'!D100)</f>
        <v/>
      </c>
      <c r="E102" s="23" t="str">
        <f>IF('02_Base_Solicitudes'!A100="","",'02_Base_Solicitudes'!E100)</f>
        <v/>
      </c>
      <c r="F102" s="23" t="str">
        <f>IF('02_Base_Solicitudes'!A100="","",'02_Base_Solicitudes'!G100)</f>
        <v/>
      </c>
      <c r="G102" s="23" t="str">
        <f>IF('02_Base_Solicitudes'!A100="","",'02_Base_Solicitudes'!H100)</f>
        <v/>
      </c>
      <c r="H102" s="32" t="str">
        <f>IF('02_Base_Solicitudes'!A100="","",'02_Base_Solicitudes'!I100)</f>
        <v/>
      </c>
      <c r="I102" s="30" t="str">
        <f>IF('02_Base_Solicitudes'!A100="","",'02_Base_Solicitudes'!J100)</f>
        <v/>
      </c>
      <c r="J102" s="23" t="str">
        <f>IF('02_Base_Solicitudes'!A100="","",'02_Base_Solicitudes'!M100)</f>
        <v/>
      </c>
      <c r="K102" s="33" t="str">
        <f>IF('02_Base_Solicitudes'!A100="","",'02_Base_Solicitudes'!K100)</f>
        <v/>
      </c>
      <c r="L102" s="19" t="str">
        <f t="shared" si="25"/>
        <v/>
      </c>
      <c r="M102" s="19"/>
      <c r="N102" s="34" t="str">
        <f t="shared" si="26"/>
        <v/>
      </c>
      <c r="O102" s="19"/>
      <c r="P102" s="34"/>
      <c r="Q102" s="19"/>
      <c r="R102" s="34"/>
      <c r="S102" s="19"/>
      <c r="T102" s="19"/>
      <c r="U102" s="19"/>
      <c r="V102" s="19"/>
      <c r="W102" s="34" t="str">
        <f t="shared" si="24"/>
        <v/>
      </c>
      <c r="X102" s="19"/>
      <c r="Y102" s="34"/>
      <c r="Z102" s="19"/>
      <c r="AA102" s="34"/>
      <c r="AB102" s="34"/>
      <c r="AC102" s="34" t="str">
        <f t="shared" si="27"/>
        <v/>
      </c>
      <c r="AD102" s="19"/>
      <c r="AE102" s="19"/>
      <c r="AF102" s="34" t="str">
        <f>OTMaestraTable[[#This Row],[Solicitante]]</f>
        <v/>
      </c>
      <c r="AG102" s="19"/>
      <c r="AH102" s="19" t="str">
        <f t="shared" si="28"/>
        <v/>
      </c>
      <c r="AI102" s="30" t="str">
        <f t="shared" si="29"/>
        <v/>
      </c>
      <c r="AJ102" s="30" t="str">
        <f t="shared" si="30"/>
        <v/>
      </c>
      <c r="AK102" s="30" t="str">
        <f t="shared" si="31"/>
        <v/>
      </c>
      <c r="AL102" s="19"/>
    </row>
    <row r="103" spans="1:38">
      <c r="A103" s="23" t="str">
        <f>IF('02_Base_Solicitudes'!A101="","",'02_Base_Solicitudes'!R101)</f>
        <v/>
      </c>
      <c r="B103" s="30" t="str">
        <f>IF('02_Base_Solicitudes'!A101="","",'02_Base_Solicitudes'!A101)</f>
        <v/>
      </c>
      <c r="C103" s="23" t="str">
        <f>IF('02_Base_Solicitudes'!A101="","",'02_Base_Solicitudes'!C101)</f>
        <v/>
      </c>
      <c r="D103" s="23" t="str">
        <f>IF('02_Base_Solicitudes'!A101="","",'02_Base_Solicitudes'!D101)</f>
        <v/>
      </c>
      <c r="E103" s="23" t="str">
        <f>IF('02_Base_Solicitudes'!A101="","",'02_Base_Solicitudes'!E101)</f>
        <v/>
      </c>
      <c r="F103" s="23" t="str">
        <f>IF('02_Base_Solicitudes'!A101="","",'02_Base_Solicitudes'!G101)</f>
        <v/>
      </c>
      <c r="G103" s="23" t="str">
        <f>IF('02_Base_Solicitudes'!A101="","",'02_Base_Solicitudes'!H101)</f>
        <v/>
      </c>
      <c r="H103" s="32" t="str">
        <f>IF('02_Base_Solicitudes'!A101="","",'02_Base_Solicitudes'!I101)</f>
        <v/>
      </c>
      <c r="I103" s="30" t="str">
        <f>IF('02_Base_Solicitudes'!A101="","",'02_Base_Solicitudes'!J101)</f>
        <v/>
      </c>
      <c r="J103" s="23" t="str">
        <f>IF('02_Base_Solicitudes'!A101="","",'02_Base_Solicitudes'!M101)</f>
        <v/>
      </c>
      <c r="K103" s="33" t="str">
        <f>IF('02_Base_Solicitudes'!A101="","",'02_Base_Solicitudes'!K101)</f>
        <v/>
      </c>
      <c r="L103" s="19" t="str">
        <f t="shared" si="25"/>
        <v/>
      </c>
      <c r="M103" s="19"/>
      <c r="N103" s="34" t="str">
        <f t="shared" si="26"/>
        <v/>
      </c>
      <c r="O103" s="19"/>
      <c r="P103" s="34"/>
      <c r="Q103" s="19"/>
      <c r="R103" s="34"/>
      <c r="S103" s="19"/>
      <c r="T103" s="19"/>
      <c r="U103" s="19"/>
      <c r="V103" s="19"/>
      <c r="W103" s="34" t="str">
        <f t="shared" si="24"/>
        <v/>
      </c>
      <c r="X103" s="19"/>
      <c r="Y103" s="34"/>
      <c r="Z103" s="19"/>
      <c r="AA103" s="34"/>
      <c r="AB103" s="34"/>
      <c r="AC103" s="34" t="str">
        <f t="shared" si="27"/>
        <v/>
      </c>
      <c r="AD103" s="19"/>
      <c r="AE103" s="19"/>
      <c r="AF103" s="34" t="str">
        <f>OTMaestraTable[[#This Row],[Solicitante]]</f>
        <v/>
      </c>
      <c r="AG103" s="19"/>
      <c r="AH103" s="19" t="str">
        <f t="shared" si="28"/>
        <v/>
      </c>
      <c r="AI103" s="30" t="str">
        <f t="shared" si="29"/>
        <v/>
      </c>
      <c r="AJ103" s="30" t="str">
        <f t="shared" si="30"/>
        <v/>
      </c>
      <c r="AK103" s="30" t="str">
        <f t="shared" si="31"/>
        <v/>
      </c>
      <c r="AL103" s="19"/>
    </row>
    <row r="104" spans="1:38">
      <c r="A104" s="23" t="str">
        <f>IF('02_Base_Solicitudes'!A102="","",'02_Base_Solicitudes'!R102)</f>
        <v/>
      </c>
      <c r="B104" s="30" t="str">
        <f>IF('02_Base_Solicitudes'!A102="","",'02_Base_Solicitudes'!A102)</f>
        <v/>
      </c>
      <c r="C104" s="23" t="str">
        <f>IF('02_Base_Solicitudes'!A102="","",'02_Base_Solicitudes'!C102)</f>
        <v/>
      </c>
      <c r="D104" s="23" t="str">
        <f>IF('02_Base_Solicitudes'!A102="","",'02_Base_Solicitudes'!D102)</f>
        <v/>
      </c>
      <c r="E104" s="23" t="str">
        <f>IF('02_Base_Solicitudes'!A102="","",'02_Base_Solicitudes'!E102)</f>
        <v/>
      </c>
      <c r="F104" s="23" t="str">
        <f>IF('02_Base_Solicitudes'!A102="","",'02_Base_Solicitudes'!G102)</f>
        <v/>
      </c>
      <c r="G104" s="23" t="str">
        <f>IF('02_Base_Solicitudes'!A102="","",'02_Base_Solicitudes'!H102)</f>
        <v/>
      </c>
      <c r="H104" s="32" t="str">
        <f>IF('02_Base_Solicitudes'!A102="","",'02_Base_Solicitudes'!I102)</f>
        <v/>
      </c>
      <c r="I104" s="30" t="str">
        <f>IF('02_Base_Solicitudes'!A102="","",'02_Base_Solicitudes'!J102)</f>
        <v/>
      </c>
      <c r="J104" s="23" t="str">
        <f>IF('02_Base_Solicitudes'!A102="","",'02_Base_Solicitudes'!M102)</f>
        <v/>
      </c>
      <c r="K104" s="33" t="str">
        <f>IF('02_Base_Solicitudes'!A102="","",'02_Base_Solicitudes'!K102)</f>
        <v/>
      </c>
      <c r="L104" s="19" t="str">
        <f t="shared" si="25"/>
        <v/>
      </c>
      <c r="M104" s="19"/>
      <c r="N104" s="34" t="str">
        <f t="shared" si="26"/>
        <v/>
      </c>
      <c r="O104" s="19"/>
      <c r="P104" s="34"/>
      <c r="Q104" s="19"/>
      <c r="R104" s="34"/>
      <c r="S104" s="19"/>
      <c r="T104" s="19"/>
      <c r="U104" s="19"/>
      <c r="V104" s="19"/>
      <c r="W104" s="34" t="str">
        <f t="shared" ref="W104:W123" si="32">IF($A104="","","Pendiente")</f>
        <v/>
      </c>
      <c r="X104" s="19"/>
      <c r="Y104" s="34"/>
      <c r="Z104" s="19"/>
      <c r="AA104" s="34"/>
      <c r="AB104" s="34"/>
      <c r="AC104" s="34" t="str">
        <f t="shared" si="27"/>
        <v/>
      </c>
      <c r="AD104" s="19"/>
      <c r="AE104" s="19"/>
      <c r="AF104" s="34" t="str">
        <f>OTMaestraTable[[#This Row],[Solicitante]]</f>
        <v/>
      </c>
      <c r="AG104" s="19"/>
      <c r="AH104" s="19" t="str">
        <f t="shared" si="28"/>
        <v/>
      </c>
      <c r="AI104" s="30" t="str">
        <f t="shared" si="29"/>
        <v/>
      </c>
      <c r="AJ104" s="30" t="str">
        <f t="shared" si="30"/>
        <v/>
      </c>
      <c r="AK104" s="30" t="str">
        <f t="shared" si="31"/>
        <v/>
      </c>
      <c r="AL104" s="19"/>
    </row>
    <row r="105" spans="1:38">
      <c r="A105" s="23" t="str">
        <f>IF('02_Base_Solicitudes'!A103="","",'02_Base_Solicitudes'!R103)</f>
        <v/>
      </c>
      <c r="B105" s="30" t="str">
        <f>IF('02_Base_Solicitudes'!A103="","",'02_Base_Solicitudes'!A103)</f>
        <v/>
      </c>
      <c r="C105" s="23" t="str">
        <f>IF('02_Base_Solicitudes'!A103="","",'02_Base_Solicitudes'!C103)</f>
        <v/>
      </c>
      <c r="D105" s="23" t="str">
        <f>IF('02_Base_Solicitudes'!A103="","",'02_Base_Solicitudes'!D103)</f>
        <v/>
      </c>
      <c r="E105" s="23" t="str">
        <f>IF('02_Base_Solicitudes'!A103="","",'02_Base_Solicitudes'!E103)</f>
        <v/>
      </c>
      <c r="F105" s="23" t="str">
        <f>IF('02_Base_Solicitudes'!A103="","",'02_Base_Solicitudes'!G103)</f>
        <v/>
      </c>
      <c r="G105" s="23" t="str">
        <f>IF('02_Base_Solicitudes'!A103="","",'02_Base_Solicitudes'!H103)</f>
        <v/>
      </c>
      <c r="H105" s="32" t="str">
        <f>IF('02_Base_Solicitudes'!A103="","",'02_Base_Solicitudes'!I103)</f>
        <v/>
      </c>
      <c r="I105" s="30" t="str">
        <f>IF('02_Base_Solicitudes'!A103="","",'02_Base_Solicitudes'!J103)</f>
        <v/>
      </c>
      <c r="J105" s="23" t="str">
        <f>IF('02_Base_Solicitudes'!A103="","",'02_Base_Solicitudes'!M103)</f>
        <v/>
      </c>
      <c r="K105" s="33" t="str">
        <f>IF('02_Base_Solicitudes'!A103="","",'02_Base_Solicitudes'!K103)</f>
        <v/>
      </c>
      <c r="L105" s="19" t="str">
        <f t="shared" si="25"/>
        <v/>
      </c>
      <c r="M105" s="19"/>
      <c r="N105" s="34" t="str">
        <f t="shared" si="26"/>
        <v/>
      </c>
      <c r="O105" s="19"/>
      <c r="P105" s="34"/>
      <c r="Q105" s="19"/>
      <c r="R105" s="34"/>
      <c r="S105" s="19"/>
      <c r="T105" s="19"/>
      <c r="U105" s="19"/>
      <c r="V105" s="19"/>
      <c r="W105" s="34" t="str">
        <f t="shared" si="32"/>
        <v/>
      </c>
      <c r="X105" s="19"/>
      <c r="Y105" s="34"/>
      <c r="Z105" s="19"/>
      <c r="AA105" s="34"/>
      <c r="AB105" s="34"/>
      <c r="AC105" s="34" t="str">
        <f t="shared" si="27"/>
        <v/>
      </c>
      <c r="AD105" s="19"/>
      <c r="AE105" s="19"/>
      <c r="AF105" s="34" t="str">
        <f>OTMaestraTable[[#This Row],[Solicitante]]</f>
        <v/>
      </c>
      <c r="AG105" s="19"/>
      <c r="AH105" s="19" t="str">
        <f t="shared" si="28"/>
        <v/>
      </c>
      <c r="AI105" s="30" t="str">
        <f t="shared" si="29"/>
        <v/>
      </c>
      <c r="AJ105" s="30" t="str">
        <f t="shared" si="30"/>
        <v/>
      </c>
      <c r="AK105" s="30" t="str">
        <f t="shared" si="31"/>
        <v/>
      </c>
      <c r="AL105" s="19"/>
    </row>
    <row r="106" spans="1:38">
      <c r="A106" s="23" t="str">
        <f>IF('02_Base_Solicitudes'!A104="","",'02_Base_Solicitudes'!R104)</f>
        <v/>
      </c>
      <c r="B106" s="30" t="str">
        <f>IF('02_Base_Solicitudes'!A104="","",'02_Base_Solicitudes'!A104)</f>
        <v/>
      </c>
      <c r="C106" s="23" t="str">
        <f>IF('02_Base_Solicitudes'!A104="","",'02_Base_Solicitudes'!C104)</f>
        <v/>
      </c>
      <c r="D106" s="23" t="str">
        <f>IF('02_Base_Solicitudes'!A104="","",'02_Base_Solicitudes'!D104)</f>
        <v/>
      </c>
      <c r="E106" s="23" t="str">
        <f>IF('02_Base_Solicitudes'!A104="","",'02_Base_Solicitudes'!E104)</f>
        <v/>
      </c>
      <c r="F106" s="23" t="str">
        <f>IF('02_Base_Solicitudes'!A104="","",'02_Base_Solicitudes'!G104)</f>
        <v/>
      </c>
      <c r="G106" s="23" t="str">
        <f>IF('02_Base_Solicitudes'!A104="","",'02_Base_Solicitudes'!H104)</f>
        <v/>
      </c>
      <c r="H106" s="32" t="str">
        <f>IF('02_Base_Solicitudes'!A104="","",'02_Base_Solicitudes'!I104)</f>
        <v/>
      </c>
      <c r="I106" s="30" t="str">
        <f>IF('02_Base_Solicitudes'!A104="","",'02_Base_Solicitudes'!J104)</f>
        <v/>
      </c>
      <c r="J106" s="23" t="str">
        <f>IF('02_Base_Solicitudes'!A104="","",'02_Base_Solicitudes'!M104)</f>
        <v/>
      </c>
      <c r="K106" s="33" t="str">
        <f>IF('02_Base_Solicitudes'!A104="","",'02_Base_Solicitudes'!K104)</f>
        <v/>
      </c>
      <c r="L106" s="19" t="str">
        <f t="shared" si="25"/>
        <v/>
      </c>
      <c r="M106" s="19"/>
      <c r="N106" s="34" t="str">
        <f t="shared" si="26"/>
        <v/>
      </c>
      <c r="O106" s="19"/>
      <c r="P106" s="34"/>
      <c r="Q106" s="19"/>
      <c r="R106" s="34"/>
      <c r="S106" s="19"/>
      <c r="T106" s="19"/>
      <c r="U106" s="19"/>
      <c r="V106" s="19"/>
      <c r="W106" s="34" t="str">
        <f t="shared" si="32"/>
        <v/>
      </c>
      <c r="X106" s="19"/>
      <c r="Y106" s="34"/>
      <c r="Z106" s="19"/>
      <c r="AA106" s="34"/>
      <c r="AB106" s="34"/>
      <c r="AC106" s="34" t="str">
        <f t="shared" si="27"/>
        <v/>
      </c>
      <c r="AD106" s="19"/>
      <c r="AE106" s="19"/>
      <c r="AF106" s="34" t="str">
        <f>OTMaestraTable[[#This Row],[Solicitante]]</f>
        <v/>
      </c>
      <c r="AG106" s="19"/>
      <c r="AH106" s="19" t="str">
        <f t="shared" si="28"/>
        <v/>
      </c>
      <c r="AI106" s="30" t="str">
        <f t="shared" si="29"/>
        <v/>
      </c>
      <c r="AJ106" s="30" t="str">
        <f t="shared" si="30"/>
        <v/>
      </c>
      <c r="AK106" s="30" t="str">
        <f t="shared" si="31"/>
        <v/>
      </c>
      <c r="AL106" s="19"/>
    </row>
    <row r="107" spans="1:38">
      <c r="A107" s="23" t="str">
        <f>IF('02_Base_Solicitudes'!A105="","",'02_Base_Solicitudes'!R105)</f>
        <v/>
      </c>
      <c r="B107" s="30" t="str">
        <f>IF('02_Base_Solicitudes'!A105="","",'02_Base_Solicitudes'!A105)</f>
        <v/>
      </c>
      <c r="C107" s="23" t="str">
        <f>IF('02_Base_Solicitudes'!A105="","",'02_Base_Solicitudes'!C105)</f>
        <v/>
      </c>
      <c r="D107" s="23" t="str">
        <f>IF('02_Base_Solicitudes'!A105="","",'02_Base_Solicitudes'!D105)</f>
        <v/>
      </c>
      <c r="E107" s="23" t="str">
        <f>IF('02_Base_Solicitudes'!A105="","",'02_Base_Solicitudes'!E105)</f>
        <v/>
      </c>
      <c r="F107" s="23" t="str">
        <f>IF('02_Base_Solicitudes'!A105="","",'02_Base_Solicitudes'!G105)</f>
        <v/>
      </c>
      <c r="G107" s="23" t="str">
        <f>IF('02_Base_Solicitudes'!A105="","",'02_Base_Solicitudes'!H105)</f>
        <v/>
      </c>
      <c r="H107" s="32" t="str">
        <f>IF('02_Base_Solicitudes'!A105="","",'02_Base_Solicitudes'!I105)</f>
        <v/>
      </c>
      <c r="I107" s="30" t="str">
        <f>IF('02_Base_Solicitudes'!A105="","",'02_Base_Solicitudes'!J105)</f>
        <v/>
      </c>
      <c r="J107" s="23" t="str">
        <f>IF('02_Base_Solicitudes'!A105="","",'02_Base_Solicitudes'!M105)</f>
        <v/>
      </c>
      <c r="K107" s="33" t="str">
        <f>IF('02_Base_Solicitudes'!A105="","",'02_Base_Solicitudes'!K105)</f>
        <v/>
      </c>
      <c r="L107" s="19" t="str">
        <f t="shared" si="25"/>
        <v/>
      </c>
      <c r="M107" s="19"/>
      <c r="N107" s="34" t="str">
        <f t="shared" si="26"/>
        <v/>
      </c>
      <c r="O107" s="19"/>
      <c r="P107" s="34"/>
      <c r="Q107" s="19"/>
      <c r="R107" s="34"/>
      <c r="S107" s="19"/>
      <c r="T107" s="19"/>
      <c r="U107" s="19"/>
      <c r="V107" s="19"/>
      <c r="W107" s="34" t="str">
        <f t="shared" si="32"/>
        <v/>
      </c>
      <c r="X107" s="19"/>
      <c r="Y107" s="34"/>
      <c r="Z107" s="19"/>
      <c r="AA107" s="34"/>
      <c r="AB107" s="34"/>
      <c r="AC107" s="34" t="str">
        <f t="shared" si="27"/>
        <v/>
      </c>
      <c r="AD107" s="19"/>
      <c r="AE107" s="19"/>
      <c r="AF107" s="34" t="str">
        <f>OTMaestraTable[[#This Row],[Solicitante]]</f>
        <v/>
      </c>
      <c r="AG107" s="19"/>
      <c r="AH107" s="19" t="str">
        <f t="shared" si="28"/>
        <v/>
      </c>
      <c r="AI107" s="30" t="str">
        <f t="shared" si="29"/>
        <v/>
      </c>
      <c r="AJ107" s="30" t="str">
        <f t="shared" si="30"/>
        <v/>
      </c>
      <c r="AK107" s="30" t="str">
        <f t="shared" si="31"/>
        <v/>
      </c>
      <c r="AL107" s="19"/>
    </row>
    <row r="108" spans="1:38">
      <c r="A108" s="23" t="str">
        <f>IF('02_Base_Solicitudes'!A106="","",'02_Base_Solicitudes'!R106)</f>
        <v/>
      </c>
      <c r="B108" s="30" t="str">
        <f>IF('02_Base_Solicitudes'!A106="","",'02_Base_Solicitudes'!A106)</f>
        <v/>
      </c>
      <c r="C108" s="23" t="str">
        <f>IF('02_Base_Solicitudes'!A106="","",'02_Base_Solicitudes'!C106)</f>
        <v/>
      </c>
      <c r="D108" s="23" t="str">
        <f>IF('02_Base_Solicitudes'!A106="","",'02_Base_Solicitudes'!D106)</f>
        <v/>
      </c>
      <c r="E108" s="23" t="str">
        <f>IF('02_Base_Solicitudes'!A106="","",'02_Base_Solicitudes'!E106)</f>
        <v/>
      </c>
      <c r="F108" s="23" t="str">
        <f>IF('02_Base_Solicitudes'!A106="","",'02_Base_Solicitudes'!G106)</f>
        <v/>
      </c>
      <c r="G108" s="23" t="str">
        <f>IF('02_Base_Solicitudes'!A106="","",'02_Base_Solicitudes'!H106)</f>
        <v/>
      </c>
      <c r="H108" s="32" t="str">
        <f>IF('02_Base_Solicitudes'!A106="","",'02_Base_Solicitudes'!I106)</f>
        <v/>
      </c>
      <c r="I108" s="30" t="str">
        <f>IF('02_Base_Solicitudes'!A106="","",'02_Base_Solicitudes'!J106)</f>
        <v/>
      </c>
      <c r="J108" s="23" t="str">
        <f>IF('02_Base_Solicitudes'!A106="","",'02_Base_Solicitudes'!M106)</f>
        <v/>
      </c>
      <c r="K108" s="33" t="str">
        <f>IF('02_Base_Solicitudes'!A106="","",'02_Base_Solicitudes'!K106)</f>
        <v/>
      </c>
      <c r="L108" s="19" t="str">
        <f t="shared" si="25"/>
        <v/>
      </c>
      <c r="M108" s="19"/>
      <c r="N108" s="34" t="str">
        <f t="shared" si="26"/>
        <v/>
      </c>
      <c r="O108" s="19"/>
      <c r="P108" s="34"/>
      <c r="Q108" s="19"/>
      <c r="R108" s="34"/>
      <c r="S108" s="19"/>
      <c r="T108" s="19"/>
      <c r="U108" s="19"/>
      <c r="V108" s="19"/>
      <c r="W108" s="34" t="str">
        <f t="shared" si="32"/>
        <v/>
      </c>
      <c r="X108" s="19"/>
      <c r="Y108" s="34"/>
      <c r="Z108" s="19"/>
      <c r="AA108" s="34"/>
      <c r="AB108" s="34"/>
      <c r="AC108" s="34" t="str">
        <f t="shared" si="27"/>
        <v/>
      </c>
      <c r="AD108" s="19"/>
      <c r="AE108" s="19"/>
      <c r="AF108" s="34" t="str">
        <f>OTMaestraTable[[#This Row],[Solicitante]]</f>
        <v/>
      </c>
      <c r="AG108" s="19"/>
      <c r="AH108" s="19" t="str">
        <f t="shared" si="28"/>
        <v/>
      </c>
      <c r="AI108" s="30" t="str">
        <f t="shared" si="29"/>
        <v/>
      </c>
      <c r="AJ108" s="30" t="str">
        <f t="shared" si="30"/>
        <v/>
      </c>
      <c r="AK108" s="30" t="str">
        <f t="shared" si="31"/>
        <v/>
      </c>
      <c r="AL108" s="19"/>
    </row>
    <row r="109" spans="1:38">
      <c r="A109" s="23" t="str">
        <f>IF('02_Base_Solicitudes'!A107="","",'02_Base_Solicitudes'!R107)</f>
        <v/>
      </c>
      <c r="B109" s="30" t="str">
        <f>IF('02_Base_Solicitudes'!A107="","",'02_Base_Solicitudes'!A107)</f>
        <v/>
      </c>
      <c r="C109" s="23" t="str">
        <f>IF('02_Base_Solicitudes'!A107="","",'02_Base_Solicitudes'!C107)</f>
        <v/>
      </c>
      <c r="D109" s="23" t="str">
        <f>IF('02_Base_Solicitudes'!A107="","",'02_Base_Solicitudes'!D107)</f>
        <v/>
      </c>
      <c r="E109" s="23" t="str">
        <f>IF('02_Base_Solicitudes'!A107="","",'02_Base_Solicitudes'!E107)</f>
        <v/>
      </c>
      <c r="F109" s="23" t="str">
        <f>IF('02_Base_Solicitudes'!A107="","",'02_Base_Solicitudes'!G107)</f>
        <v/>
      </c>
      <c r="G109" s="23" t="str">
        <f>IF('02_Base_Solicitudes'!A107="","",'02_Base_Solicitudes'!H107)</f>
        <v/>
      </c>
      <c r="H109" s="32" t="str">
        <f>IF('02_Base_Solicitudes'!A107="","",'02_Base_Solicitudes'!I107)</f>
        <v/>
      </c>
      <c r="I109" s="30" t="str">
        <f>IF('02_Base_Solicitudes'!A107="","",'02_Base_Solicitudes'!J107)</f>
        <v/>
      </c>
      <c r="J109" s="23" t="str">
        <f>IF('02_Base_Solicitudes'!A107="","",'02_Base_Solicitudes'!M107)</f>
        <v/>
      </c>
      <c r="K109" s="33" t="str">
        <f>IF('02_Base_Solicitudes'!A107="","",'02_Base_Solicitudes'!K107)</f>
        <v/>
      </c>
      <c r="L109" s="19" t="str">
        <f t="shared" si="25"/>
        <v/>
      </c>
      <c r="M109" s="19"/>
      <c r="N109" s="34" t="str">
        <f t="shared" si="26"/>
        <v/>
      </c>
      <c r="O109" s="19"/>
      <c r="P109" s="34"/>
      <c r="Q109" s="19"/>
      <c r="R109" s="34"/>
      <c r="S109" s="19"/>
      <c r="T109" s="19"/>
      <c r="U109" s="19"/>
      <c r="V109" s="19"/>
      <c r="W109" s="34" t="str">
        <f t="shared" si="32"/>
        <v/>
      </c>
      <c r="X109" s="19"/>
      <c r="Y109" s="34"/>
      <c r="Z109" s="19"/>
      <c r="AA109" s="34"/>
      <c r="AB109" s="34"/>
      <c r="AC109" s="34" t="str">
        <f t="shared" si="27"/>
        <v/>
      </c>
      <c r="AD109" s="19"/>
      <c r="AE109" s="19"/>
      <c r="AF109" s="34" t="str">
        <f>OTMaestraTable[[#This Row],[Solicitante]]</f>
        <v/>
      </c>
      <c r="AG109" s="19"/>
      <c r="AH109" s="19" t="str">
        <f t="shared" si="28"/>
        <v/>
      </c>
      <c r="AI109" s="30" t="str">
        <f t="shared" si="29"/>
        <v/>
      </c>
      <c r="AJ109" s="30" t="str">
        <f t="shared" si="30"/>
        <v/>
      </c>
      <c r="AK109" s="30" t="str">
        <f t="shared" si="31"/>
        <v/>
      </c>
      <c r="AL109" s="19"/>
    </row>
    <row r="110" spans="1:38">
      <c r="A110" s="23" t="str">
        <f>IF('02_Base_Solicitudes'!A108="","",'02_Base_Solicitudes'!R108)</f>
        <v/>
      </c>
      <c r="B110" s="30" t="str">
        <f>IF('02_Base_Solicitudes'!A108="","",'02_Base_Solicitudes'!A108)</f>
        <v/>
      </c>
      <c r="C110" s="23" t="str">
        <f>IF('02_Base_Solicitudes'!A108="","",'02_Base_Solicitudes'!C108)</f>
        <v/>
      </c>
      <c r="D110" s="23" t="str">
        <f>IF('02_Base_Solicitudes'!A108="","",'02_Base_Solicitudes'!D108)</f>
        <v/>
      </c>
      <c r="E110" s="23" t="str">
        <f>IF('02_Base_Solicitudes'!A108="","",'02_Base_Solicitudes'!E108)</f>
        <v/>
      </c>
      <c r="F110" s="23" t="str">
        <f>IF('02_Base_Solicitudes'!A108="","",'02_Base_Solicitudes'!G108)</f>
        <v/>
      </c>
      <c r="G110" s="23" t="str">
        <f>IF('02_Base_Solicitudes'!A108="","",'02_Base_Solicitudes'!H108)</f>
        <v/>
      </c>
      <c r="H110" s="32" t="str">
        <f>IF('02_Base_Solicitudes'!A108="","",'02_Base_Solicitudes'!I108)</f>
        <v/>
      </c>
      <c r="I110" s="30" t="str">
        <f>IF('02_Base_Solicitudes'!A108="","",'02_Base_Solicitudes'!J108)</f>
        <v/>
      </c>
      <c r="J110" s="23" t="str">
        <f>IF('02_Base_Solicitudes'!A108="","",'02_Base_Solicitudes'!M108)</f>
        <v/>
      </c>
      <c r="K110" s="33" t="str">
        <f>IF('02_Base_Solicitudes'!A108="","",'02_Base_Solicitudes'!K108)</f>
        <v/>
      </c>
      <c r="L110" s="19" t="str">
        <f t="shared" si="25"/>
        <v/>
      </c>
      <c r="M110" s="19"/>
      <c r="N110" s="34" t="str">
        <f t="shared" si="26"/>
        <v/>
      </c>
      <c r="O110" s="19"/>
      <c r="P110" s="34"/>
      <c r="Q110" s="19"/>
      <c r="R110" s="34"/>
      <c r="S110" s="19"/>
      <c r="T110" s="19"/>
      <c r="U110" s="19"/>
      <c r="V110" s="19"/>
      <c r="W110" s="34" t="str">
        <f t="shared" si="32"/>
        <v/>
      </c>
      <c r="X110" s="19"/>
      <c r="Y110" s="34"/>
      <c r="Z110" s="19"/>
      <c r="AA110" s="34"/>
      <c r="AB110" s="34"/>
      <c r="AC110" s="34" t="str">
        <f t="shared" si="27"/>
        <v/>
      </c>
      <c r="AD110" s="19"/>
      <c r="AE110" s="19"/>
      <c r="AF110" s="34" t="str">
        <f>OTMaestraTable[[#This Row],[Solicitante]]</f>
        <v/>
      </c>
      <c r="AG110" s="19"/>
      <c r="AH110" s="19" t="str">
        <f t="shared" si="28"/>
        <v/>
      </c>
      <c r="AI110" s="30" t="str">
        <f t="shared" si="29"/>
        <v/>
      </c>
      <c r="AJ110" s="30" t="str">
        <f t="shared" si="30"/>
        <v/>
      </c>
      <c r="AK110" s="30" t="str">
        <f t="shared" si="31"/>
        <v/>
      </c>
      <c r="AL110" s="19"/>
    </row>
    <row r="111" spans="1:38">
      <c r="A111" s="23" t="str">
        <f>IF('02_Base_Solicitudes'!A109="","",'02_Base_Solicitudes'!R109)</f>
        <v/>
      </c>
      <c r="B111" s="30" t="str">
        <f>IF('02_Base_Solicitudes'!A109="","",'02_Base_Solicitudes'!A109)</f>
        <v/>
      </c>
      <c r="C111" s="23" t="str">
        <f>IF('02_Base_Solicitudes'!A109="","",'02_Base_Solicitudes'!C109)</f>
        <v/>
      </c>
      <c r="D111" s="23" t="str">
        <f>IF('02_Base_Solicitudes'!A109="","",'02_Base_Solicitudes'!D109)</f>
        <v/>
      </c>
      <c r="E111" s="23" t="str">
        <f>IF('02_Base_Solicitudes'!A109="","",'02_Base_Solicitudes'!E109)</f>
        <v/>
      </c>
      <c r="F111" s="23" t="str">
        <f>IF('02_Base_Solicitudes'!A109="","",'02_Base_Solicitudes'!G109)</f>
        <v/>
      </c>
      <c r="G111" s="23" t="str">
        <f>IF('02_Base_Solicitudes'!A109="","",'02_Base_Solicitudes'!H109)</f>
        <v/>
      </c>
      <c r="H111" s="32" t="str">
        <f>IF('02_Base_Solicitudes'!A109="","",'02_Base_Solicitudes'!I109)</f>
        <v/>
      </c>
      <c r="I111" s="30" t="str">
        <f>IF('02_Base_Solicitudes'!A109="","",'02_Base_Solicitudes'!J109)</f>
        <v/>
      </c>
      <c r="J111" s="23" t="str">
        <f>IF('02_Base_Solicitudes'!A109="","",'02_Base_Solicitudes'!M109)</f>
        <v/>
      </c>
      <c r="K111" s="33" t="str">
        <f>IF('02_Base_Solicitudes'!A109="","",'02_Base_Solicitudes'!K109)</f>
        <v/>
      </c>
      <c r="L111" s="19" t="str">
        <f t="shared" si="25"/>
        <v/>
      </c>
      <c r="M111" s="19"/>
      <c r="N111" s="34" t="str">
        <f t="shared" si="26"/>
        <v/>
      </c>
      <c r="O111" s="19"/>
      <c r="P111" s="34"/>
      <c r="Q111" s="19"/>
      <c r="R111" s="34"/>
      <c r="S111" s="19"/>
      <c r="T111" s="19"/>
      <c r="U111" s="19"/>
      <c r="V111" s="19"/>
      <c r="W111" s="34" t="str">
        <f t="shared" si="32"/>
        <v/>
      </c>
      <c r="X111" s="19"/>
      <c r="Y111" s="34"/>
      <c r="Z111" s="19"/>
      <c r="AA111" s="34"/>
      <c r="AB111" s="34"/>
      <c r="AC111" s="34" t="str">
        <f t="shared" si="27"/>
        <v/>
      </c>
      <c r="AD111" s="19"/>
      <c r="AE111" s="19"/>
      <c r="AF111" s="34" t="str">
        <f>OTMaestraTable[[#This Row],[Solicitante]]</f>
        <v/>
      </c>
      <c r="AG111" s="19"/>
      <c r="AH111" s="19" t="str">
        <f t="shared" si="28"/>
        <v/>
      </c>
      <c r="AI111" s="30" t="str">
        <f t="shared" si="29"/>
        <v/>
      </c>
      <c r="AJ111" s="30" t="str">
        <f t="shared" si="30"/>
        <v/>
      </c>
      <c r="AK111" s="30" t="str">
        <f t="shared" si="31"/>
        <v/>
      </c>
      <c r="AL111" s="19"/>
    </row>
    <row r="112" spans="1:38">
      <c r="A112" s="23" t="str">
        <f>IF('02_Base_Solicitudes'!A110="","",'02_Base_Solicitudes'!R110)</f>
        <v/>
      </c>
      <c r="B112" s="30" t="str">
        <f>IF('02_Base_Solicitudes'!A110="","",'02_Base_Solicitudes'!A110)</f>
        <v/>
      </c>
      <c r="C112" s="23" t="str">
        <f>IF('02_Base_Solicitudes'!A110="","",'02_Base_Solicitudes'!C110)</f>
        <v/>
      </c>
      <c r="D112" s="23" t="str">
        <f>IF('02_Base_Solicitudes'!A110="","",'02_Base_Solicitudes'!D110)</f>
        <v/>
      </c>
      <c r="E112" s="23" t="str">
        <f>IF('02_Base_Solicitudes'!A110="","",'02_Base_Solicitudes'!E110)</f>
        <v/>
      </c>
      <c r="F112" s="23" t="str">
        <f>IF('02_Base_Solicitudes'!A110="","",'02_Base_Solicitudes'!G110)</f>
        <v/>
      </c>
      <c r="G112" s="23" t="str">
        <f>IF('02_Base_Solicitudes'!A110="","",'02_Base_Solicitudes'!H110)</f>
        <v/>
      </c>
      <c r="H112" s="32" t="str">
        <f>IF('02_Base_Solicitudes'!A110="","",'02_Base_Solicitudes'!I110)</f>
        <v/>
      </c>
      <c r="I112" s="30" t="str">
        <f>IF('02_Base_Solicitudes'!A110="","",'02_Base_Solicitudes'!J110)</f>
        <v/>
      </c>
      <c r="J112" s="23" t="str">
        <f>IF('02_Base_Solicitudes'!A110="","",'02_Base_Solicitudes'!M110)</f>
        <v/>
      </c>
      <c r="K112" s="33" t="str">
        <f>IF('02_Base_Solicitudes'!A110="","",'02_Base_Solicitudes'!K110)</f>
        <v/>
      </c>
      <c r="L112" s="19" t="str">
        <f t="shared" si="25"/>
        <v/>
      </c>
      <c r="M112" s="19"/>
      <c r="N112" s="34" t="str">
        <f t="shared" si="26"/>
        <v/>
      </c>
      <c r="O112" s="19"/>
      <c r="P112" s="34"/>
      <c r="Q112" s="19"/>
      <c r="R112" s="34"/>
      <c r="S112" s="19"/>
      <c r="T112" s="19"/>
      <c r="U112" s="19"/>
      <c r="V112" s="19"/>
      <c r="W112" s="34" t="str">
        <f t="shared" si="32"/>
        <v/>
      </c>
      <c r="X112" s="19"/>
      <c r="Y112" s="34"/>
      <c r="Z112" s="19"/>
      <c r="AA112" s="34"/>
      <c r="AB112" s="34"/>
      <c r="AC112" s="34" t="str">
        <f t="shared" si="27"/>
        <v/>
      </c>
      <c r="AD112" s="19"/>
      <c r="AE112" s="19"/>
      <c r="AF112" s="34" t="str">
        <f>OTMaestraTable[[#This Row],[Solicitante]]</f>
        <v/>
      </c>
      <c r="AG112" s="19"/>
      <c r="AH112" s="19" t="str">
        <f t="shared" si="28"/>
        <v/>
      </c>
      <c r="AI112" s="30" t="str">
        <f t="shared" si="29"/>
        <v/>
      </c>
      <c r="AJ112" s="30" t="str">
        <f t="shared" si="30"/>
        <v/>
      </c>
      <c r="AK112" s="30" t="str">
        <f t="shared" si="31"/>
        <v/>
      </c>
      <c r="AL112" s="19"/>
    </row>
    <row r="113" spans="1:38">
      <c r="A113" s="23" t="str">
        <f>IF('02_Base_Solicitudes'!A111="","",'02_Base_Solicitudes'!R111)</f>
        <v/>
      </c>
      <c r="B113" s="30" t="str">
        <f>IF('02_Base_Solicitudes'!A111="","",'02_Base_Solicitudes'!A111)</f>
        <v/>
      </c>
      <c r="C113" s="23" t="str">
        <f>IF('02_Base_Solicitudes'!A111="","",'02_Base_Solicitudes'!C111)</f>
        <v/>
      </c>
      <c r="D113" s="23" t="str">
        <f>IF('02_Base_Solicitudes'!A111="","",'02_Base_Solicitudes'!D111)</f>
        <v/>
      </c>
      <c r="E113" s="23" t="str">
        <f>IF('02_Base_Solicitudes'!A111="","",'02_Base_Solicitudes'!E111)</f>
        <v/>
      </c>
      <c r="F113" s="23" t="str">
        <f>IF('02_Base_Solicitudes'!A111="","",'02_Base_Solicitudes'!G111)</f>
        <v/>
      </c>
      <c r="G113" s="23" t="str">
        <f>IF('02_Base_Solicitudes'!A111="","",'02_Base_Solicitudes'!H111)</f>
        <v/>
      </c>
      <c r="H113" s="32" t="str">
        <f>IF('02_Base_Solicitudes'!A111="","",'02_Base_Solicitudes'!I111)</f>
        <v/>
      </c>
      <c r="I113" s="30" t="str">
        <f>IF('02_Base_Solicitudes'!A111="","",'02_Base_Solicitudes'!J111)</f>
        <v/>
      </c>
      <c r="J113" s="23" t="str">
        <f>IF('02_Base_Solicitudes'!A111="","",'02_Base_Solicitudes'!M111)</f>
        <v/>
      </c>
      <c r="K113" s="33" t="str">
        <f>IF('02_Base_Solicitudes'!A111="","",'02_Base_Solicitudes'!K111)</f>
        <v/>
      </c>
      <c r="L113" s="19" t="str">
        <f t="shared" si="25"/>
        <v/>
      </c>
      <c r="M113" s="19"/>
      <c r="N113" s="34" t="str">
        <f t="shared" si="26"/>
        <v/>
      </c>
      <c r="O113" s="19"/>
      <c r="P113" s="34"/>
      <c r="Q113" s="19"/>
      <c r="R113" s="34"/>
      <c r="S113" s="19"/>
      <c r="T113" s="19"/>
      <c r="U113" s="19"/>
      <c r="V113" s="19"/>
      <c r="W113" s="34" t="str">
        <f t="shared" si="32"/>
        <v/>
      </c>
      <c r="X113" s="19"/>
      <c r="Y113" s="34"/>
      <c r="Z113" s="19"/>
      <c r="AA113" s="34"/>
      <c r="AB113" s="34"/>
      <c r="AC113" s="34" t="str">
        <f t="shared" si="27"/>
        <v/>
      </c>
      <c r="AD113" s="19"/>
      <c r="AE113" s="19"/>
      <c r="AF113" s="34" t="str">
        <f>OTMaestraTable[[#This Row],[Solicitante]]</f>
        <v/>
      </c>
      <c r="AG113" s="19"/>
      <c r="AH113" s="19" t="str">
        <f t="shared" si="28"/>
        <v/>
      </c>
      <c r="AI113" s="30" t="str">
        <f t="shared" si="29"/>
        <v/>
      </c>
      <c r="AJ113" s="30" t="str">
        <f t="shared" si="30"/>
        <v/>
      </c>
      <c r="AK113" s="30" t="str">
        <f t="shared" si="31"/>
        <v/>
      </c>
      <c r="AL113" s="19"/>
    </row>
    <row r="114" spans="1:38">
      <c r="A114" s="23" t="str">
        <f>IF('02_Base_Solicitudes'!A112="","",'02_Base_Solicitudes'!R112)</f>
        <v/>
      </c>
      <c r="B114" s="30" t="str">
        <f>IF('02_Base_Solicitudes'!A112="","",'02_Base_Solicitudes'!A112)</f>
        <v/>
      </c>
      <c r="C114" s="23" t="str">
        <f>IF('02_Base_Solicitudes'!A112="","",'02_Base_Solicitudes'!C112)</f>
        <v/>
      </c>
      <c r="D114" s="23" t="str">
        <f>IF('02_Base_Solicitudes'!A112="","",'02_Base_Solicitudes'!D112)</f>
        <v/>
      </c>
      <c r="E114" s="23" t="str">
        <f>IF('02_Base_Solicitudes'!A112="","",'02_Base_Solicitudes'!E112)</f>
        <v/>
      </c>
      <c r="F114" s="23" t="str">
        <f>IF('02_Base_Solicitudes'!A112="","",'02_Base_Solicitudes'!G112)</f>
        <v/>
      </c>
      <c r="G114" s="23" t="str">
        <f>IF('02_Base_Solicitudes'!A112="","",'02_Base_Solicitudes'!H112)</f>
        <v/>
      </c>
      <c r="H114" s="32" t="str">
        <f>IF('02_Base_Solicitudes'!A112="","",'02_Base_Solicitudes'!I112)</f>
        <v/>
      </c>
      <c r="I114" s="30" t="str">
        <f>IF('02_Base_Solicitudes'!A112="","",'02_Base_Solicitudes'!J112)</f>
        <v/>
      </c>
      <c r="J114" s="23" t="str">
        <f>IF('02_Base_Solicitudes'!A112="","",'02_Base_Solicitudes'!M112)</f>
        <v/>
      </c>
      <c r="K114" s="33" t="str">
        <f>IF('02_Base_Solicitudes'!A112="","",'02_Base_Solicitudes'!K112)</f>
        <v/>
      </c>
      <c r="L114" s="19" t="str">
        <f t="shared" si="25"/>
        <v/>
      </c>
      <c r="M114" s="19"/>
      <c r="N114" s="34" t="str">
        <f t="shared" si="26"/>
        <v/>
      </c>
      <c r="O114" s="19"/>
      <c r="P114" s="34"/>
      <c r="Q114" s="19"/>
      <c r="R114" s="34"/>
      <c r="S114" s="19"/>
      <c r="T114" s="19"/>
      <c r="U114" s="19"/>
      <c r="V114" s="19"/>
      <c r="W114" s="34" t="str">
        <f t="shared" si="32"/>
        <v/>
      </c>
      <c r="X114" s="19"/>
      <c r="Y114" s="34"/>
      <c r="Z114" s="19"/>
      <c r="AA114" s="34"/>
      <c r="AB114" s="34"/>
      <c r="AC114" s="34" t="str">
        <f t="shared" si="27"/>
        <v/>
      </c>
      <c r="AD114" s="19"/>
      <c r="AE114" s="19"/>
      <c r="AF114" s="34" t="str">
        <f>OTMaestraTable[[#This Row],[Solicitante]]</f>
        <v/>
      </c>
      <c r="AG114" s="19"/>
      <c r="AH114" s="19" t="str">
        <f t="shared" si="28"/>
        <v/>
      </c>
      <c r="AI114" s="30" t="str">
        <f t="shared" si="29"/>
        <v/>
      </c>
      <c r="AJ114" s="30" t="str">
        <f t="shared" si="30"/>
        <v/>
      </c>
      <c r="AK114" s="30" t="str">
        <f t="shared" si="31"/>
        <v/>
      </c>
      <c r="AL114" s="19"/>
    </row>
    <row r="115" spans="1:38">
      <c r="A115" s="23" t="str">
        <f>IF('02_Base_Solicitudes'!A113="","",'02_Base_Solicitudes'!R113)</f>
        <v/>
      </c>
      <c r="B115" s="30" t="str">
        <f>IF('02_Base_Solicitudes'!A113="","",'02_Base_Solicitudes'!A113)</f>
        <v/>
      </c>
      <c r="C115" s="23" t="str">
        <f>IF('02_Base_Solicitudes'!A113="","",'02_Base_Solicitudes'!C113)</f>
        <v/>
      </c>
      <c r="D115" s="23" t="str">
        <f>IF('02_Base_Solicitudes'!A113="","",'02_Base_Solicitudes'!D113)</f>
        <v/>
      </c>
      <c r="E115" s="23" t="str">
        <f>IF('02_Base_Solicitudes'!A113="","",'02_Base_Solicitudes'!E113)</f>
        <v/>
      </c>
      <c r="F115" s="23" t="str">
        <f>IF('02_Base_Solicitudes'!A113="","",'02_Base_Solicitudes'!G113)</f>
        <v/>
      </c>
      <c r="G115" s="23" t="str">
        <f>IF('02_Base_Solicitudes'!A113="","",'02_Base_Solicitudes'!H113)</f>
        <v/>
      </c>
      <c r="H115" s="32" t="str">
        <f>IF('02_Base_Solicitudes'!A113="","",'02_Base_Solicitudes'!I113)</f>
        <v/>
      </c>
      <c r="I115" s="30" t="str">
        <f>IF('02_Base_Solicitudes'!A113="","",'02_Base_Solicitudes'!J113)</f>
        <v/>
      </c>
      <c r="J115" s="23" t="str">
        <f>IF('02_Base_Solicitudes'!A113="","",'02_Base_Solicitudes'!M113)</f>
        <v/>
      </c>
      <c r="K115" s="33" t="str">
        <f>IF('02_Base_Solicitudes'!A113="","",'02_Base_Solicitudes'!K113)</f>
        <v/>
      </c>
      <c r="L115" s="19" t="str">
        <f t="shared" si="25"/>
        <v/>
      </c>
      <c r="M115" s="19"/>
      <c r="N115" s="34" t="str">
        <f t="shared" si="26"/>
        <v/>
      </c>
      <c r="O115" s="19"/>
      <c r="P115" s="34"/>
      <c r="Q115" s="19"/>
      <c r="R115" s="34"/>
      <c r="S115" s="19"/>
      <c r="T115" s="19"/>
      <c r="U115" s="19"/>
      <c r="V115" s="19"/>
      <c r="W115" s="34" t="str">
        <f t="shared" si="32"/>
        <v/>
      </c>
      <c r="X115" s="19"/>
      <c r="Y115" s="34"/>
      <c r="Z115" s="19"/>
      <c r="AA115" s="34"/>
      <c r="AB115" s="34"/>
      <c r="AC115" s="34" t="str">
        <f t="shared" si="27"/>
        <v/>
      </c>
      <c r="AD115" s="19"/>
      <c r="AE115" s="19"/>
      <c r="AF115" s="34" t="str">
        <f>OTMaestraTable[[#This Row],[Solicitante]]</f>
        <v/>
      </c>
      <c r="AG115" s="19"/>
      <c r="AH115" s="19" t="str">
        <f t="shared" si="28"/>
        <v/>
      </c>
      <c r="AI115" s="30" t="str">
        <f t="shared" si="29"/>
        <v/>
      </c>
      <c r="AJ115" s="30" t="str">
        <f t="shared" si="30"/>
        <v/>
      </c>
      <c r="AK115" s="30" t="str">
        <f t="shared" si="31"/>
        <v/>
      </c>
      <c r="AL115" s="19"/>
    </row>
    <row r="116" spans="1:38">
      <c r="A116" s="23" t="str">
        <f>IF('02_Base_Solicitudes'!A114="","",'02_Base_Solicitudes'!R114)</f>
        <v/>
      </c>
      <c r="B116" s="30" t="str">
        <f>IF('02_Base_Solicitudes'!A114="","",'02_Base_Solicitudes'!A114)</f>
        <v/>
      </c>
      <c r="C116" s="23" t="str">
        <f>IF('02_Base_Solicitudes'!A114="","",'02_Base_Solicitudes'!C114)</f>
        <v/>
      </c>
      <c r="D116" s="23" t="str">
        <f>IF('02_Base_Solicitudes'!A114="","",'02_Base_Solicitudes'!D114)</f>
        <v/>
      </c>
      <c r="E116" s="23" t="str">
        <f>IF('02_Base_Solicitudes'!A114="","",'02_Base_Solicitudes'!E114)</f>
        <v/>
      </c>
      <c r="F116" s="23" t="str">
        <f>IF('02_Base_Solicitudes'!A114="","",'02_Base_Solicitudes'!G114)</f>
        <v/>
      </c>
      <c r="G116" s="23" t="str">
        <f>IF('02_Base_Solicitudes'!A114="","",'02_Base_Solicitudes'!H114)</f>
        <v/>
      </c>
      <c r="H116" s="32" t="str">
        <f>IF('02_Base_Solicitudes'!A114="","",'02_Base_Solicitudes'!I114)</f>
        <v/>
      </c>
      <c r="I116" s="30" t="str">
        <f>IF('02_Base_Solicitudes'!A114="","",'02_Base_Solicitudes'!J114)</f>
        <v/>
      </c>
      <c r="J116" s="23" t="str">
        <f>IF('02_Base_Solicitudes'!A114="","",'02_Base_Solicitudes'!M114)</f>
        <v/>
      </c>
      <c r="K116" s="33" t="str">
        <f>IF('02_Base_Solicitudes'!A114="","",'02_Base_Solicitudes'!K114)</f>
        <v/>
      </c>
      <c r="L116" s="19" t="str">
        <f t="shared" si="25"/>
        <v/>
      </c>
      <c r="M116" s="19"/>
      <c r="N116" s="34" t="str">
        <f t="shared" si="26"/>
        <v/>
      </c>
      <c r="O116" s="19"/>
      <c r="P116" s="34"/>
      <c r="Q116" s="19"/>
      <c r="R116" s="34"/>
      <c r="S116" s="19"/>
      <c r="T116" s="19"/>
      <c r="U116" s="19"/>
      <c r="V116" s="19"/>
      <c r="W116" s="34" t="str">
        <f t="shared" si="32"/>
        <v/>
      </c>
      <c r="X116" s="19"/>
      <c r="Y116" s="34"/>
      <c r="Z116" s="19"/>
      <c r="AA116" s="34"/>
      <c r="AB116" s="34"/>
      <c r="AC116" s="34" t="str">
        <f t="shared" si="27"/>
        <v/>
      </c>
      <c r="AD116" s="19"/>
      <c r="AE116" s="19"/>
      <c r="AF116" s="34" t="str">
        <f>OTMaestraTable[[#This Row],[Solicitante]]</f>
        <v/>
      </c>
      <c r="AG116" s="19"/>
      <c r="AH116" s="19" t="str">
        <f t="shared" si="28"/>
        <v/>
      </c>
      <c r="AI116" s="30" t="str">
        <f t="shared" si="29"/>
        <v/>
      </c>
      <c r="AJ116" s="30" t="str">
        <f t="shared" si="30"/>
        <v/>
      </c>
      <c r="AK116" s="30" t="str">
        <f t="shared" si="31"/>
        <v/>
      </c>
      <c r="AL116" s="19"/>
    </row>
    <row r="117" spans="1:38">
      <c r="A117" s="23" t="str">
        <f>IF('02_Base_Solicitudes'!A115="","",'02_Base_Solicitudes'!R115)</f>
        <v/>
      </c>
      <c r="B117" s="30" t="str">
        <f>IF('02_Base_Solicitudes'!A115="","",'02_Base_Solicitudes'!A115)</f>
        <v/>
      </c>
      <c r="C117" s="23" t="str">
        <f>IF('02_Base_Solicitudes'!A115="","",'02_Base_Solicitudes'!C115)</f>
        <v/>
      </c>
      <c r="D117" s="23" t="str">
        <f>IF('02_Base_Solicitudes'!A115="","",'02_Base_Solicitudes'!D115)</f>
        <v/>
      </c>
      <c r="E117" s="23" t="str">
        <f>IF('02_Base_Solicitudes'!A115="","",'02_Base_Solicitudes'!E115)</f>
        <v/>
      </c>
      <c r="F117" s="23" t="str">
        <f>IF('02_Base_Solicitudes'!A115="","",'02_Base_Solicitudes'!G115)</f>
        <v/>
      </c>
      <c r="G117" s="23" t="str">
        <f>IF('02_Base_Solicitudes'!A115="","",'02_Base_Solicitudes'!H115)</f>
        <v/>
      </c>
      <c r="H117" s="32" t="str">
        <f>IF('02_Base_Solicitudes'!A115="","",'02_Base_Solicitudes'!I115)</f>
        <v/>
      </c>
      <c r="I117" s="30" t="str">
        <f>IF('02_Base_Solicitudes'!A115="","",'02_Base_Solicitudes'!J115)</f>
        <v/>
      </c>
      <c r="J117" s="23" t="str">
        <f>IF('02_Base_Solicitudes'!A115="","",'02_Base_Solicitudes'!M115)</f>
        <v/>
      </c>
      <c r="K117" s="33" t="str">
        <f>IF('02_Base_Solicitudes'!A115="","",'02_Base_Solicitudes'!K115)</f>
        <v/>
      </c>
      <c r="L117" s="19" t="str">
        <f t="shared" si="25"/>
        <v/>
      </c>
      <c r="M117" s="19"/>
      <c r="N117" s="34" t="str">
        <f t="shared" si="26"/>
        <v/>
      </c>
      <c r="O117" s="19"/>
      <c r="P117" s="34"/>
      <c r="Q117" s="19"/>
      <c r="R117" s="34"/>
      <c r="S117" s="19"/>
      <c r="T117" s="19"/>
      <c r="U117" s="19"/>
      <c r="V117" s="19"/>
      <c r="W117" s="34" t="str">
        <f t="shared" si="32"/>
        <v/>
      </c>
      <c r="X117" s="19"/>
      <c r="Y117" s="34"/>
      <c r="Z117" s="19"/>
      <c r="AA117" s="34"/>
      <c r="AB117" s="34"/>
      <c r="AC117" s="34" t="str">
        <f t="shared" si="27"/>
        <v/>
      </c>
      <c r="AD117" s="19"/>
      <c r="AE117" s="19"/>
      <c r="AF117" s="34" t="str">
        <f>OTMaestraTable[[#This Row],[Solicitante]]</f>
        <v/>
      </c>
      <c r="AG117" s="19"/>
      <c r="AH117" s="19" t="str">
        <f t="shared" si="28"/>
        <v/>
      </c>
      <c r="AI117" s="30" t="str">
        <f t="shared" si="29"/>
        <v/>
      </c>
      <c r="AJ117" s="30" t="str">
        <f t="shared" si="30"/>
        <v/>
      </c>
      <c r="AK117" s="30" t="str">
        <f t="shared" si="31"/>
        <v/>
      </c>
      <c r="AL117" s="19"/>
    </row>
    <row r="118" spans="1:38">
      <c r="A118" s="23" t="str">
        <f>IF('02_Base_Solicitudes'!A116="","",'02_Base_Solicitudes'!R116)</f>
        <v/>
      </c>
      <c r="B118" s="30" t="str">
        <f>IF('02_Base_Solicitudes'!A116="","",'02_Base_Solicitudes'!A116)</f>
        <v/>
      </c>
      <c r="C118" s="23" t="str">
        <f>IF('02_Base_Solicitudes'!A116="","",'02_Base_Solicitudes'!C116)</f>
        <v/>
      </c>
      <c r="D118" s="23" t="str">
        <f>IF('02_Base_Solicitudes'!A116="","",'02_Base_Solicitudes'!D116)</f>
        <v/>
      </c>
      <c r="E118" s="23" t="str">
        <f>IF('02_Base_Solicitudes'!A116="","",'02_Base_Solicitudes'!E116)</f>
        <v/>
      </c>
      <c r="F118" s="23" t="str">
        <f>IF('02_Base_Solicitudes'!A116="","",'02_Base_Solicitudes'!G116)</f>
        <v/>
      </c>
      <c r="G118" s="23" t="str">
        <f>IF('02_Base_Solicitudes'!A116="","",'02_Base_Solicitudes'!H116)</f>
        <v/>
      </c>
      <c r="H118" s="32" t="str">
        <f>IF('02_Base_Solicitudes'!A116="","",'02_Base_Solicitudes'!I116)</f>
        <v/>
      </c>
      <c r="I118" s="30" t="str">
        <f>IF('02_Base_Solicitudes'!A116="","",'02_Base_Solicitudes'!J116)</f>
        <v/>
      </c>
      <c r="J118" s="23" t="str">
        <f>IF('02_Base_Solicitudes'!A116="","",'02_Base_Solicitudes'!M116)</f>
        <v/>
      </c>
      <c r="K118" s="33" t="str">
        <f>IF('02_Base_Solicitudes'!A116="","",'02_Base_Solicitudes'!K116)</f>
        <v/>
      </c>
      <c r="L118" s="19" t="str">
        <f t="shared" si="25"/>
        <v/>
      </c>
      <c r="M118" s="19"/>
      <c r="N118" s="34" t="str">
        <f t="shared" si="26"/>
        <v/>
      </c>
      <c r="O118" s="19"/>
      <c r="P118" s="34"/>
      <c r="Q118" s="19"/>
      <c r="R118" s="34"/>
      <c r="S118" s="19"/>
      <c r="T118" s="19"/>
      <c r="U118" s="19"/>
      <c r="V118" s="19"/>
      <c r="W118" s="34" t="str">
        <f t="shared" si="32"/>
        <v/>
      </c>
      <c r="X118" s="19"/>
      <c r="Y118" s="34"/>
      <c r="Z118" s="19"/>
      <c r="AA118" s="34"/>
      <c r="AB118" s="34"/>
      <c r="AC118" s="34" t="str">
        <f t="shared" si="27"/>
        <v/>
      </c>
      <c r="AD118" s="19"/>
      <c r="AE118" s="19"/>
      <c r="AF118" s="34" t="str">
        <f>OTMaestraTable[[#This Row],[Solicitante]]</f>
        <v/>
      </c>
      <c r="AG118" s="19"/>
      <c r="AH118" s="19" t="str">
        <f t="shared" si="28"/>
        <v/>
      </c>
      <c r="AI118" s="30" t="str">
        <f t="shared" si="29"/>
        <v/>
      </c>
      <c r="AJ118" s="30" t="str">
        <f t="shared" si="30"/>
        <v/>
      </c>
      <c r="AK118" s="30" t="str">
        <f t="shared" si="31"/>
        <v/>
      </c>
      <c r="AL118" s="19"/>
    </row>
    <row r="119" spans="1:38">
      <c r="A119" s="23" t="str">
        <f>IF('02_Base_Solicitudes'!A117="","",'02_Base_Solicitudes'!R117)</f>
        <v/>
      </c>
      <c r="B119" s="30" t="str">
        <f>IF('02_Base_Solicitudes'!A117="","",'02_Base_Solicitudes'!A117)</f>
        <v/>
      </c>
      <c r="C119" s="23" t="str">
        <f>IF('02_Base_Solicitudes'!A117="","",'02_Base_Solicitudes'!C117)</f>
        <v/>
      </c>
      <c r="D119" s="23" t="str">
        <f>IF('02_Base_Solicitudes'!A117="","",'02_Base_Solicitudes'!D117)</f>
        <v/>
      </c>
      <c r="E119" s="23" t="str">
        <f>IF('02_Base_Solicitudes'!A117="","",'02_Base_Solicitudes'!E117)</f>
        <v/>
      </c>
      <c r="F119" s="23" t="str">
        <f>IF('02_Base_Solicitudes'!A117="","",'02_Base_Solicitudes'!G117)</f>
        <v/>
      </c>
      <c r="G119" s="23" t="str">
        <f>IF('02_Base_Solicitudes'!A117="","",'02_Base_Solicitudes'!H117)</f>
        <v/>
      </c>
      <c r="H119" s="32" t="str">
        <f>IF('02_Base_Solicitudes'!A117="","",'02_Base_Solicitudes'!I117)</f>
        <v/>
      </c>
      <c r="I119" s="30" t="str">
        <f>IF('02_Base_Solicitudes'!A117="","",'02_Base_Solicitudes'!J117)</f>
        <v/>
      </c>
      <c r="J119" s="23" t="str">
        <f>IF('02_Base_Solicitudes'!A117="","",'02_Base_Solicitudes'!M117)</f>
        <v/>
      </c>
      <c r="K119" s="33" t="str">
        <f>IF('02_Base_Solicitudes'!A117="","",'02_Base_Solicitudes'!K117)</f>
        <v/>
      </c>
      <c r="L119" s="19" t="str">
        <f t="shared" si="25"/>
        <v/>
      </c>
      <c r="M119" s="19"/>
      <c r="N119" s="34" t="str">
        <f t="shared" si="26"/>
        <v/>
      </c>
      <c r="O119" s="19"/>
      <c r="P119" s="34"/>
      <c r="Q119" s="19"/>
      <c r="R119" s="34"/>
      <c r="S119" s="19"/>
      <c r="T119" s="19"/>
      <c r="U119" s="19"/>
      <c r="V119" s="19"/>
      <c r="W119" s="34" t="str">
        <f t="shared" si="32"/>
        <v/>
      </c>
      <c r="X119" s="19"/>
      <c r="Y119" s="34"/>
      <c r="Z119" s="19"/>
      <c r="AA119" s="34"/>
      <c r="AB119" s="34"/>
      <c r="AC119" s="34" t="str">
        <f t="shared" si="27"/>
        <v/>
      </c>
      <c r="AD119" s="19"/>
      <c r="AE119" s="19"/>
      <c r="AF119" s="34" t="str">
        <f>OTMaestraTable[[#This Row],[Solicitante]]</f>
        <v/>
      </c>
      <c r="AG119" s="19"/>
      <c r="AH119" s="19" t="str">
        <f t="shared" si="28"/>
        <v/>
      </c>
      <c r="AI119" s="30" t="str">
        <f t="shared" si="29"/>
        <v/>
      </c>
      <c r="AJ119" s="30" t="str">
        <f t="shared" si="30"/>
        <v/>
      </c>
      <c r="AK119" s="30" t="str">
        <f t="shared" si="31"/>
        <v/>
      </c>
      <c r="AL119" s="19"/>
    </row>
    <row r="120" spans="1:38">
      <c r="A120" s="23" t="str">
        <f>IF('02_Base_Solicitudes'!A118="","",'02_Base_Solicitudes'!R118)</f>
        <v/>
      </c>
      <c r="B120" s="30" t="str">
        <f>IF('02_Base_Solicitudes'!A118="","",'02_Base_Solicitudes'!A118)</f>
        <v/>
      </c>
      <c r="C120" s="23" t="str">
        <f>IF('02_Base_Solicitudes'!A118="","",'02_Base_Solicitudes'!C118)</f>
        <v/>
      </c>
      <c r="D120" s="23" t="str">
        <f>IF('02_Base_Solicitudes'!A118="","",'02_Base_Solicitudes'!D118)</f>
        <v/>
      </c>
      <c r="E120" s="23" t="str">
        <f>IF('02_Base_Solicitudes'!A118="","",'02_Base_Solicitudes'!E118)</f>
        <v/>
      </c>
      <c r="F120" s="23" t="str">
        <f>IF('02_Base_Solicitudes'!A118="","",'02_Base_Solicitudes'!G118)</f>
        <v/>
      </c>
      <c r="G120" s="23" t="str">
        <f>IF('02_Base_Solicitudes'!A118="","",'02_Base_Solicitudes'!H118)</f>
        <v/>
      </c>
      <c r="H120" s="32" t="str">
        <f>IF('02_Base_Solicitudes'!A118="","",'02_Base_Solicitudes'!I118)</f>
        <v/>
      </c>
      <c r="I120" s="30" t="str">
        <f>IF('02_Base_Solicitudes'!A118="","",'02_Base_Solicitudes'!J118)</f>
        <v/>
      </c>
      <c r="J120" s="23" t="str">
        <f>IF('02_Base_Solicitudes'!A118="","",'02_Base_Solicitudes'!M118)</f>
        <v/>
      </c>
      <c r="K120" s="33" t="str">
        <f>IF('02_Base_Solicitudes'!A118="","",'02_Base_Solicitudes'!K118)</f>
        <v/>
      </c>
      <c r="L120" s="19" t="str">
        <f t="shared" si="25"/>
        <v/>
      </c>
      <c r="M120" s="19"/>
      <c r="N120" s="34" t="str">
        <f t="shared" si="26"/>
        <v/>
      </c>
      <c r="O120" s="19"/>
      <c r="P120" s="34"/>
      <c r="Q120" s="19"/>
      <c r="R120" s="34"/>
      <c r="S120" s="19"/>
      <c r="T120" s="19"/>
      <c r="U120" s="19"/>
      <c r="V120" s="19"/>
      <c r="W120" s="34" t="str">
        <f t="shared" si="32"/>
        <v/>
      </c>
      <c r="X120" s="19"/>
      <c r="Y120" s="34"/>
      <c r="Z120" s="19"/>
      <c r="AA120" s="34"/>
      <c r="AB120" s="34"/>
      <c r="AC120" s="34" t="str">
        <f t="shared" si="27"/>
        <v/>
      </c>
      <c r="AD120" s="19"/>
      <c r="AE120" s="19"/>
      <c r="AF120" s="34" t="str">
        <f>OTMaestraTable[[#This Row],[Solicitante]]</f>
        <v/>
      </c>
      <c r="AG120" s="19"/>
      <c r="AH120" s="19" t="str">
        <f t="shared" si="28"/>
        <v/>
      </c>
      <c r="AI120" s="30" t="str">
        <f t="shared" si="29"/>
        <v/>
      </c>
      <c r="AJ120" s="30" t="str">
        <f t="shared" si="30"/>
        <v/>
      </c>
      <c r="AK120" s="30" t="str">
        <f t="shared" si="31"/>
        <v/>
      </c>
      <c r="AL120" s="19"/>
    </row>
    <row r="121" spans="1:38">
      <c r="A121" s="23" t="str">
        <f>IF('02_Base_Solicitudes'!A119="","",'02_Base_Solicitudes'!R119)</f>
        <v/>
      </c>
      <c r="B121" s="30" t="str">
        <f>IF('02_Base_Solicitudes'!A119="","",'02_Base_Solicitudes'!A119)</f>
        <v/>
      </c>
      <c r="C121" s="23" t="str">
        <f>IF('02_Base_Solicitudes'!A119="","",'02_Base_Solicitudes'!C119)</f>
        <v/>
      </c>
      <c r="D121" s="23" t="str">
        <f>IF('02_Base_Solicitudes'!A119="","",'02_Base_Solicitudes'!D119)</f>
        <v/>
      </c>
      <c r="E121" s="23" t="str">
        <f>IF('02_Base_Solicitudes'!A119="","",'02_Base_Solicitudes'!E119)</f>
        <v/>
      </c>
      <c r="F121" s="23" t="str">
        <f>IF('02_Base_Solicitudes'!A119="","",'02_Base_Solicitudes'!G119)</f>
        <v/>
      </c>
      <c r="G121" s="23" t="str">
        <f>IF('02_Base_Solicitudes'!A119="","",'02_Base_Solicitudes'!H119)</f>
        <v/>
      </c>
      <c r="H121" s="32" t="str">
        <f>IF('02_Base_Solicitudes'!A119="","",'02_Base_Solicitudes'!I119)</f>
        <v/>
      </c>
      <c r="I121" s="30" t="str">
        <f>IF('02_Base_Solicitudes'!A119="","",'02_Base_Solicitudes'!J119)</f>
        <v/>
      </c>
      <c r="J121" s="23" t="str">
        <f>IF('02_Base_Solicitudes'!A119="","",'02_Base_Solicitudes'!M119)</f>
        <v/>
      </c>
      <c r="K121" s="33" t="str">
        <f>IF('02_Base_Solicitudes'!A119="","",'02_Base_Solicitudes'!K119)</f>
        <v/>
      </c>
      <c r="L121" s="19" t="str">
        <f t="shared" si="25"/>
        <v/>
      </c>
      <c r="M121" s="19"/>
      <c r="N121" s="34" t="str">
        <f t="shared" si="26"/>
        <v/>
      </c>
      <c r="O121" s="19"/>
      <c r="P121" s="34"/>
      <c r="Q121" s="19"/>
      <c r="R121" s="34"/>
      <c r="S121" s="19"/>
      <c r="T121" s="19"/>
      <c r="U121" s="19"/>
      <c r="V121" s="19"/>
      <c r="W121" s="34" t="str">
        <f t="shared" si="32"/>
        <v/>
      </c>
      <c r="X121" s="19"/>
      <c r="Y121" s="34"/>
      <c r="Z121" s="19"/>
      <c r="AA121" s="34"/>
      <c r="AB121" s="34"/>
      <c r="AC121" s="34" t="str">
        <f t="shared" si="27"/>
        <v/>
      </c>
      <c r="AD121" s="19"/>
      <c r="AE121" s="19"/>
      <c r="AF121" s="34" t="str">
        <f>OTMaestraTable[[#This Row],[Solicitante]]</f>
        <v/>
      </c>
      <c r="AG121" s="19"/>
      <c r="AH121" s="19" t="str">
        <f t="shared" si="28"/>
        <v/>
      </c>
      <c r="AI121" s="30" t="str">
        <f t="shared" si="29"/>
        <v/>
      </c>
      <c r="AJ121" s="30" t="str">
        <f t="shared" si="30"/>
        <v/>
      </c>
      <c r="AK121" s="30" t="str">
        <f t="shared" si="31"/>
        <v/>
      </c>
      <c r="AL121" s="19"/>
    </row>
    <row r="122" spans="1:38">
      <c r="A122" s="23" t="str">
        <f>IF('02_Base_Solicitudes'!A120="","",'02_Base_Solicitudes'!R120)</f>
        <v/>
      </c>
      <c r="B122" s="30" t="str">
        <f>IF('02_Base_Solicitudes'!A120="","",'02_Base_Solicitudes'!A120)</f>
        <v/>
      </c>
      <c r="C122" s="23" t="str">
        <f>IF('02_Base_Solicitudes'!A120="","",'02_Base_Solicitudes'!C120)</f>
        <v/>
      </c>
      <c r="D122" s="23" t="str">
        <f>IF('02_Base_Solicitudes'!A120="","",'02_Base_Solicitudes'!D120)</f>
        <v/>
      </c>
      <c r="E122" s="23" t="str">
        <f>IF('02_Base_Solicitudes'!A120="","",'02_Base_Solicitudes'!E120)</f>
        <v/>
      </c>
      <c r="F122" s="23" t="str">
        <f>IF('02_Base_Solicitudes'!A120="","",'02_Base_Solicitudes'!G120)</f>
        <v/>
      </c>
      <c r="G122" s="23" t="str">
        <f>IF('02_Base_Solicitudes'!A120="","",'02_Base_Solicitudes'!H120)</f>
        <v/>
      </c>
      <c r="H122" s="32" t="str">
        <f>IF('02_Base_Solicitudes'!A120="","",'02_Base_Solicitudes'!I120)</f>
        <v/>
      </c>
      <c r="I122" s="30" t="str">
        <f>IF('02_Base_Solicitudes'!A120="","",'02_Base_Solicitudes'!J120)</f>
        <v/>
      </c>
      <c r="J122" s="23" t="str">
        <f>IF('02_Base_Solicitudes'!A120="","",'02_Base_Solicitudes'!M120)</f>
        <v/>
      </c>
      <c r="K122" s="33" t="str">
        <f>IF('02_Base_Solicitudes'!A120="","",'02_Base_Solicitudes'!K120)</f>
        <v/>
      </c>
      <c r="L122" s="19" t="str">
        <f t="shared" si="25"/>
        <v/>
      </c>
      <c r="M122" s="19"/>
      <c r="N122" s="34" t="str">
        <f t="shared" si="26"/>
        <v/>
      </c>
      <c r="O122" s="19"/>
      <c r="P122" s="34"/>
      <c r="Q122" s="19"/>
      <c r="R122" s="34"/>
      <c r="S122" s="19"/>
      <c r="T122" s="19"/>
      <c r="U122" s="19"/>
      <c r="V122" s="19"/>
      <c r="W122" s="34" t="str">
        <f t="shared" si="32"/>
        <v/>
      </c>
      <c r="X122" s="19"/>
      <c r="Y122" s="34"/>
      <c r="Z122" s="19"/>
      <c r="AA122" s="34"/>
      <c r="AB122" s="34"/>
      <c r="AC122" s="34" t="str">
        <f t="shared" si="27"/>
        <v/>
      </c>
      <c r="AD122" s="19"/>
      <c r="AE122" s="19"/>
      <c r="AF122" s="34" t="str">
        <f>OTMaestraTable[[#This Row],[Solicitante]]</f>
        <v/>
      </c>
      <c r="AG122" s="19"/>
      <c r="AH122" s="19" t="str">
        <f t="shared" si="28"/>
        <v/>
      </c>
      <c r="AI122" s="30" t="str">
        <f t="shared" si="29"/>
        <v/>
      </c>
      <c r="AJ122" s="30" t="str">
        <f t="shared" si="30"/>
        <v/>
      </c>
      <c r="AK122" s="30" t="str">
        <f t="shared" si="31"/>
        <v/>
      </c>
      <c r="AL122" s="19"/>
    </row>
    <row r="123" spans="1:38">
      <c r="A123" s="23" t="str">
        <f>IF('02_Base_Solicitudes'!A121="","",'02_Base_Solicitudes'!R121)</f>
        <v/>
      </c>
      <c r="B123" s="30" t="str">
        <f>IF('02_Base_Solicitudes'!A121="","",'02_Base_Solicitudes'!A121)</f>
        <v/>
      </c>
      <c r="C123" s="23" t="str">
        <f>IF('02_Base_Solicitudes'!A121="","",'02_Base_Solicitudes'!C121)</f>
        <v/>
      </c>
      <c r="D123" s="23" t="str">
        <f>IF('02_Base_Solicitudes'!A121="","",'02_Base_Solicitudes'!D121)</f>
        <v/>
      </c>
      <c r="E123" s="23" t="str">
        <f>IF('02_Base_Solicitudes'!A121="","",'02_Base_Solicitudes'!E121)</f>
        <v/>
      </c>
      <c r="F123" s="23" t="str">
        <f>IF('02_Base_Solicitudes'!A121="","",'02_Base_Solicitudes'!G121)</f>
        <v/>
      </c>
      <c r="G123" s="23" t="str">
        <f>IF('02_Base_Solicitudes'!A121="","",'02_Base_Solicitudes'!H121)</f>
        <v/>
      </c>
      <c r="H123" s="32" t="str">
        <f>IF('02_Base_Solicitudes'!A121="","",'02_Base_Solicitudes'!I121)</f>
        <v/>
      </c>
      <c r="I123" s="30" t="str">
        <f>IF('02_Base_Solicitudes'!A121="","",'02_Base_Solicitudes'!J121)</f>
        <v/>
      </c>
      <c r="J123" s="23" t="str">
        <f>IF('02_Base_Solicitudes'!A121="","",'02_Base_Solicitudes'!M121)</f>
        <v/>
      </c>
      <c r="K123" s="33" t="str">
        <f>IF('02_Base_Solicitudes'!A121="","",'02_Base_Solicitudes'!K121)</f>
        <v/>
      </c>
      <c r="L123" s="19" t="str">
        <f t="shared" si="25"/>
        <v/>
      </c>
      <c r="M123" s="19"/>
      <c r="N123" s="34" t="str">
        <f t="shared" si="26"/>
        <v/>
      </c>
      <c r="O123" s="19"/>
      <c r="P123" s="34"/>
      <c r="Q123" s="19"/>
      <c r="R123" s="34"/>
      <c r="S123" s="19"/>
      <c r="T123" s="19"/>
      <c r="U123" s="19"/>
      <c r="V123" s="19"/>
      <c r="W123" s="34" t="str">
        <f t="shared" si="32"/>
        <v/>
      </c>
      <c r="X123" s="19"/>
      <c r="Y123" s="34"/>
      <c r="Z123" s="19"/>
      <c r="AA123" s="34"/>
      <c r="AB123" s="34"/>
      <c r="AC123" s="34" t="str">
        <f t="shared" si="27"/>
        <v/>
      </c>
      <c r="AD123" s="19"/>
      <c r="AE123" s="19"/>
      <c r="AF123" s="34" t="str">
        <f>OTMaestraTable[[#This Row],[Solicitante]]</f>
        <v/>
      </c>
      <c r="AG123" s="19"/>
      <c r="AH123" s="19" t="str">
        <f t="shared" si="28"/>
        <v/>
      </c>
      <c r="AI123" s="30" t="str">
        <f t="shared" si="29"/>
        <v/>
      </c>
      <c r="AJ123" s="30" t="str">
        <f t="shared" si="30"/>
        <v/>
      </c>
      <c r="AK123" s="30" t="str">
        <f t="shared" si="31"/>
        <v/>
      </c>
      <c r="AL123" s="19"/>
    </row>
    <row r="124" spans="1:38">
      <c r="A124" s="23" t="str">
        <f>IF('02_Base_Solicitudes'!A122="","",'02_Base_Solicitudes'!R122)</f>
        <v/>
      </c>
      <c r="B124" s="30" t="str">
        <f>IF('02_Base_Solicitudes'!A122="","",'02_Base_Solicitudes'!A122)</f>
        <v/>
      </c>
      <c r="C124" s="23" t="str">
        <f>IF('02_Base_Solicitudes'!A122="","",'02_Base_Solicitudes'!C122)</f>
        <v/>
      </c>
      <c r="D124" s="23" t="str">
        <f>IF('02_Base_Solicitudes'!A122="","",'02_Base_Solicitudes'!D122)</f>
        <v/>
      </c>
      <c r="E124" s="23" t="str">
        <f>IF('02_Base_Solicitudes'!A122="","",'02_Base_Solicitudes'!E122)</f>
        <v/>
      </c>
      <c r="F124" s="23" t="str">
        <f>IF('02_Base_Solicitudes'!A122="","",'02_Base_Solicitudes'!G122)</f>
        <v/>
      </c>
      <c r="G124" s="23" t="str">
        <f>IF('02_Base_Solicitudes'!A122="","",'02_Base_Solicitudes'!H122)</f>
        <v/>
      </c>
      <c r="H124" s="32" t="str">
        <f>IF('02_Base_Solicitudes'!A122="","",'02_Base_Solicitudes'!I122)</f>
        <v/>
      </c>
      <c r="I124" s="30" t="str">
        <f>IF('02_Base_Solicitudes'!A122="","",'02_Base_Solicitudes'!J122)</f>
        <v/>
      </c>
      <c r="J124" s="23" t="str">
        <f>IF('02_Base_Solicitudes'!A122="","",'02_Base_Solicitudes'!M122)</f>
        <v/>
      </c>
      <c r="K124" s="33" t="str">
        <f>IF('02_Base_Solicitudes'!A122="","",'02_Base_Solicitudes'!K122)</f>
        <v/>
      </c>
      <c r="L124" s="19" t="str">
        <f t="shared" si="25"/>
        <v/>
      </c>
      <c r="M124" s="19"/>
      <c r="N124" s="34" t="str">
        <f t="shared" si="26"/>
        <v/>
      </c>
      <c r="O124" s="19"/>
      <c r="P124" s="34"/>
      <c r="Q124" s="19"/>
      <c r="R124" s="34"/>
      <c r="S124" s="19"/>
      <c r="T124" s="19"/>
      <c r="U124" s="19"/>
      <c r="V124" s="19"/>
      <c r="W124" s="34" t="str">
        <f t="shared" ref="W124:W143" si="33">IF($A124="","","Pendiente")</f>
        <v/>
      </c>
      <c r="X124" s="19"/>
      <c r="Y124" s="34"/>
      <c r="Z124" s="19"/>
      <c r="AA124" s="34"/>
      <c r="AB124" s="34"/>
      <c r="AC124" s="34" t="str">
        <f t="shared" si="27"/>
        <v/>
      </c>
      <c r="AD124" s="19"/>
      <c r="AE124" s="19"/>
      <c r="AF124" s="34" t="str">
        <f>OTMaestraTable[[#This Row],[Solicitante]]</f>
        <v/>
      </c>
      <c r="AG124" s="19"/>
      <c r="AH124" s="19" t="str">
        <f t="shared" si="28"/>
        <v/>
      </c>
      <c r="AI124" s="30" t="str">
        <f t="shared" si="29"/>
        <v/>
      </c>
      <c r="AJ124" s="30" t="str">
        <f t="shared" si="30"/>
        <v/>
      </c>
      <c r="AK124" s="30" t="str">
        <f t="shared" si="31"/>
        <v/>
      </c>
      <c r="AL124" s="19"/>
    </row>
    <row r="125" spans="1:38">
      <c r="A125" s="23" t="str">
        <f>IF('02_Base_Solicitudes'!A123="","",'02_Base_Solicitudes'!R123)</f>
        <v/>
      </c>
      <c r="B125" s="30" t="str">
        <f>IF('02_Base_Solicitudes'!A123="","",'02_Base_Solicitudes'!A123)</f>
        <v/>
      </c>
      <c r="C125" s="23" t="str">
        <f>IF('02_Base_Solicitudes'!A123="","",'02_Base_Solicitudes'!C123)</f>
        <v/>
      </c>
      <c r="D125" s="23" t="str">
        <f>IF('02_Base_Solicitudes'!A123="","",'02_Base_Solicitudes'!D123)</f>
        <v/>
      </c>
      <c r="E125" s="23" t="str">
        <f>IF('02_Base_Solicitudes'!A123="","",'02_Base_Solicitudes'!E123)</f>
        <v/>
      </c>
      <c r="F125" s="23" t="str">
        <f>IF('02_Base_Solicitudes'!A123="","",'02_Base_Solicitudes'!G123)</f>
        <v/>
      </c>
      <c r="G125" s="23" t="str">
        <f>IF('02_Base_Solicitudes'!A123="","",'02_Base_Solicitudes'!H123)</f>
        <v/>
      </c>
      <c r="H125" s="32" t="str">
        <f>IF('02_Base_Solicitudes'!A123="","",'02_Base_Solicitudes'!I123)</f>
        <v/>
      </c>
      <c r="I125" s="30" t="str">
        <f>IF('02_Base_Solicitudes'!A123="","",'02_Base_Solicitudes'!J123)</f>
        <v/>
      </c>
      <c r="J125" s="23" t="str">
        <f>IF('02_Base_Solicitudes'!A123="","",'02_Base_Solicitudes'!M123)</f>
        <v/>
      </c>
      <c r="K125" s="33" t="str">
        <f>IF('02_Base_Solicitudes'!A123="","",'02_Base_Solicitudes'!K123)</f>
        <v/>
      </c>
      <c r="L125" s="19" t="str">
        <f t="shared" si="25"/>
        <v/>
      </c>
      <c r="M125" s="19"/>
      <c r="N125" s="34" t="str">
        <f t="shared" si="26"/>
        <v/>
      </c>
      <c r="O125" s="19"/>
      <c r="P125" s="34"/>
      <c r="Q125" s="19"/>
      <c r="R125" s="34"/>
      <c r="S125" s="19"/>
      <c r="T125" s="19"/>
      <c r="U125" s="19"/>
      <c r="V125" s="19"/>
      <c r="W125" s="34" t="str">
        <f t="shared" si="33"/>
        <v/>
      </c>
      <c r="X125" s="19"/>
      <c r="Y125" s="34"/>
      <c r="Z125" s="19"/>
      <c r="AA125" s="34"/>
      <c r="AB125" s="34"/>
      <c r="AC125" s="34" t="str">
        <f t="shared" si="27"/>
        <v/>
      </c>
      <c r="AD125" s="19"/>
      <c r="AE125" s="19"/>
      <c r="AF125" s="34" t="str">
        <f>OTMaestraTable[[#This Row],[Solicitante]]</f>
        <v/>
      </c>
      <c r="AG125" s="19"/>
      <c r="AH125" s="19" t="str">
        <f t="shared" si="28"/>
        <v/>
      </c>
      <c r="AI125" s="30" t="str">
        <f t="shared" si="29"/>
        <v/>
      </c>
      <c r="AJ125" s="30" t="str">
        <f t="shared" si="30"/>
        <v/>
      </c>
      <c r="AK125" s="30" t="str">
        <f t="shared" si="31"/>
        <v/>
      </c>
      <c r="AL125" s="19"/>
    </row>
    <row r="126" spans="1:38">
      <c r="A126" s="23" t="str">
        <f>IF('02_Base_Solicitudes'!A124="","",'02_Base_Solicitudes'!R124)</f>
        <v/>
      </c>
      <c r="B126" s="30" t="str">
        <f>IF('02_Base_Solicitudes'!A124="","",'02_Base_Solicitudes'!A124)</f>
        <v/>
      </c>
      <c r="C126" s="23" t="str">
        <f>IF('02_Base_Solicitudes'!A124="","",'02_Base_Solicitudes'!C124)</f>
        <v/>
      </c>
      <c r="D126" s="23" t="str">
        <f>IF('02_Base_Solicitudes'!A124="","",'02_Base_Solicitudes'!D124)</f>
        <v/>
      </c>
      <c r="E126" s="23" t="str">
        <f>IF('02_Base_Solicitudes'!A124="","",'02_Base_Solicitudes'!E124)</f>
        <v/>
      </c>
      <c r="F126" s="23" t="str">
        <f>IF('02_Base_Solicitudes'!A124="","",'02_Base_Solicitudes'!G124)</f>
        <v/>
      </c>
      <c r="G126" s="23" t="str">
        <f>IF('02_Base_Solicitudes'!A124="","",'02_Base_Solicitudes'!H124)</f>
        <v/>
      </c>
      <c r="H126" s="32" t="str">
        <f>IF('02_Base_Solicitudes'!A124="","",'02_Base_Solicitudes'!I124)</f>
        <v/>
      </c>
      <c r="I126" s="30" t="str">
        <f>IF('02_Base_Solicitudes'!A124="","",'02_Base_Solicitudes'!J124)</f>
        <v/>
      </c>
      <c r="J126" s="23" t="str">
        <f>IF('02_Base_Solicitudes'!A124="","",'02_Base_Solicitudes'!M124)</f>
        <v/>
      </c>
      <c r="K126" s="33" t="str">
        <f>IF('02_Base_Solicitudes'!A124="","",'02_Base_Solicitudes'!K124)</f>
        <v/>
      </c>
      <c r="L126" s="19" t="str">
        <f t="shared" si="25"/>
        <v/>
      </c>
      <c r="M126" s="19"/>
      <c r="N126" s="34" t="str">
        <f t="shared" si="26"/>
        <v/>
      </c>
      <c r="O126" s="19"/>
      <c r="P126" s="34"/>
      <c r="Q126" s="19"/>
      <c r="R126" s="34"/>
      <c r="S126" s="19"/>
      <c r="T126" s="19"/>
      <c r="U126" s="19"/>
      <c r="V126" s="19"/>
      <c r="W126" s="34" t="str">
        <f t="shared" si="33"/>
        <v/>
      </c>
      <c r="X126" s="19"/>
      <c r="Y126" s="34"/>
      <c r="Z126" s="19"/>
      <c r="AA126" s="34"/>
      <c r="AB126" s="34"/>
      <c r="AC126" s="34" t="str">
        <f t="shared" si="27"/>
        <v/>
      </c>
      <c r="AD126" s="19"/>
      <c r="AE126" s="19"/>
      <c r="AF126" s="34" t="str">
        <f>OTMaestraTable[[#This Row],[Solicitante]]</f>
        <v/>
      </c>
      <c r="AG126" s="19"/>
      <c r="AH126" s="19" t="str">
        <f t="shared" si="28"/>
        <v/>
      </c>
      <c r="AI126" s="30" t="str">
        <f t="shared" si="29"/>
        <v/>
      </c>
      <c r="AJ126" s="30" t="str">
        <f t="shared" si="30"/>
        <v/>
      </c>
      <c r="AK126" s="30" t="str">
        <f t="shared" si="31"/>
        <v/>
      </c>
      <c r="AL126" s="19"/>
    </row>
    <row r="127" spans="1:38">
      <c r="A127" s="23" t="str">
        <f>IF('02_Base_Solicitudes'!A125="","",'02_Base_Solicitudes'!R125)</f>
        <v/>
      </c>
      <c r="B127" s="30" t="str">
        <f>IF('02_Base_Solicitudes'!A125="","",'02_Base_Solicitudes'!A125)</f>
        <v/>
      </c>
      <c r="C127" s="23" t="str">
        <f>IF('02_Base_Solicitudes'!A125="","",'02_Base_Solicitudes'!C125)</f>
        <v/>
      </c>
      <c r="D127" s="23" t="str">
        <f>IF('02_Base_Solicitudes'!A125="","",'02_Base_Solicitudes'!D125)</f>
        <v/>
      </c>
      <c r="E127" s="23" t="str">
        <f>IF('02_Base_Solicitudes'!A125="","",'02_Base_Solicitudes'!E125)</f>
        <v/>
      </c>
      <c r="F127" s="23" t="str">
        <f>IF('02_Base_Solicitudes'!A125="","",'02_Base_Solicitudes'!G125)</f>
        <v/>
      </c>
      <c r="G127" s="23" t="str">
        <f>IF('02_Base_Solicitudes'!A125="","",'02_Base_Solicitudes'!H125)</f>
        <v/>
      </c>
      <c r="H127" s="32" t="str">
        <f>IF('02_Base_Solicitudes'!A125="","",'02_Base_Solicitudes'!I125)</f>
        <v/>
      </c>
      <c r="I127" s="30" t="str">
        <f>IF('02_Base_Solicitudes'!A125="","",'02_Base_Solicitudes'!J125)</f>
        <v/>
      </c>
      <c r="J127" s="23" t="str">
        <f>IF('02_Base_Solicitudes'!A125="","",'02_Base_Solicitudes'!M125)</f>
        <v/>
      </c>
      <c r="K127" s="33" t="str">
        <f>IF('02_Base_Solicitudes'!A125="","",'02_Base_Solicitudes'!K125)</f>
        <v/>
      </c>
      <c r="L127" s="19" t="str">
        <f t="shared" si="25"/>
        <v/>
      </c>
      <c r="M127" s="19"/>
      <c r="N127" s="34" t="str">
        <f t="shared" si="26"/>
        <v/>
      </c>
      <c r="O127" s="19"/>
      <c r="P127" s="34"/>
      <c r="Q127" s="19"/>
      <c r="R127" s="34"/>
      <c r="S127" s="19"/>
      <c r="T127" s="19"/>
      <c r="U127" s="19"/>
      <c r="V127" s="19"/>
      <c r="W127" s="34" t="str">
        <f t="shared" si="33"/>
        <v/>
      </c>
      <c r="X127" s="19"/>
      <c r="Y127" s="34"/>
      <c r="Z127" s="19"/>
      <c r="AA127" s="34"/>
      <c r="AB127" s="34"/>
      <c r="AC127" s="34" t="str">
        <f t="shared" si="27"/>
        <v/>
      </c>
      <c r="AD127" s="19"/>
      <c r="AE127" s="19"/>
      <c r="AF127" s="34" t="str">
        <f>OTMaestraTable[[#This Row],[Solicitante]]</f>
        <v/>
      </c>
      <c r="AG127" s="19"/>
      <c r="AH127" s="19" t="str">
        <f t="shared" si="28"/>
        <v/>
      </c>
      <c r="AI127" s="30" t="str">
        <f t="shared" si="29"/>
        <v/>
      </c>
      <c r="AJ127" s="30" t="str">
        <f t="shared" si="30"/>
        <v/>
      </c>
      <c r="AK127" s="30" t="str">
        <f t="shared" si="31"/>
        <v/>
      </c>
      <c r="AL127" s="19"/>
    </row>
    <row r="128" spans="1:38">
      <c r="A128" s="23" t="str">
        <f>IF('02_Base_Solicitudes'!A126="","",'02_Base_Solicitudes'!R126)</f>
        <v/>
      </c>
      <c r="B128" s="30" t="str">
        <f>IF('02_Base_Solicitudes'!A126="","",'02_Base_Solicitudes'!A126)</f>
        <v/>
      </c>
      <c r="C128" s="23" t="str">
        <f>IF('02_Base_Solicitudes'!A126="","",'02_Base_Solicitudes'!C126)</f>
        <v/>
      </c>
      <c r="D128" s="23" t="str">
        <f>IF('02_Base_Solicitudes'!A126="","",'02_Base_Solicitudes'!D126)</f>
        <v/>
      </c>
      <c r="E128" s="23" t="str">
        <f>IF('02_Base_Solicitudes'!A126="","",'02_Base_Solicitudes'!E126)</f>
        <v/>
      </c>
      <c r="F128" s="23" t="str">
        <f>IF('02_Base_Solicitudes'!A126="","",'02_Base_Solicitudes'!G126)</f>
        <v/>
      </c>
      <c r="G128" s="23" t="str">
        <f>IF('02_Base_Solicitudes'!A126="","",'02_Base_Solicitudes'!H126)</f>
        <v/>
      </c>
      <c r="H128" s="32" t="str">
        <f>IF('02_Base_Solicitudes'!A126="","",'02_Base_Solicitudes'!I126)</f>
        <v/>
      </c>
      <c r="I128" s="30" t="str">
        <f>IF('02_Base_Solicitudes'!A126="","",'02_Base_Solicitudes'!J126)</f>
        <v/>
      </c>
      <c r="J128" s="23" t="str">
        <f>IF('02_Base_Solicitudes'!A126="","",'02_Base_Solicitudes'!M126)</f>
        <v/>
      </c>
      <c r="K128" s="33" t="str">
        <f>IF('02_Base_Solicitudes'!A126="","",'02_Base_Solicitudes'!K126)</f>
        <v/>
      </c>
      <c r="L128" s="19" t="str">
        <f t="shared" si="25"/>
        <v/>
      </c>
      <c r="M128" s="19"/>
      <c r="N128" s="34" t="str">
        <f t="shared" si="26"/>
        <v/>
      </c>
      <c r="O128" s="19"/>
      <c r="P128" s="34"/>
      <c r="Q128" s="19"/>
      <c r="R128" s="34"/>
      <c r="S128" s="19"/>
      <c r="T128" s="19"/>
      <c r="U128" s="19"/>
      <c r="V128" s="19"/>
      <c r="W128" s="34" t="str">
        <f t="shared" si="33"/>
        <v/>
      </c>
      <c r="X128" s="19"/>
      <c r="Y128" s="34"/>
      <c r="Z128" s="19"/>
      <c r="AA128" s="34"/>
      <c r="AB128" s="34"/>
      <c r="AC128" s="34" t="str">
        <f t="shared" si="27"/>
        <v/>
      </c>
      <c r="AD128" s="19"/>
      <c r="AE128" s="19"/>
      <c r="AF128" s="34" t="str">
        <f>OTMaestraTable[[#This Row],[Solicitante]]</f>
        <v/>
      </c>
      <c r="AG128" s="19"/>
      <c r="AH128" s="19" t="str">
        <f t="shared" si="28"/>
        <v/>
      </c>
      <c r="AI128" s="30" t="str">
        <f t="shared" si="29"/>
        <v/>
      </c>
      <c r="AJ128" s="30" t="str">
        <f t="shared" si="30"/>
        <v/>
      </c>
      <c r="AK128" s="30" t="str">
        <f t="shared" si="31"/>
        <v/>
      </c>
      <c r="AL128" s="19"/>
    </row>
    <row r="129" spans="1:38">
      <c r="A129" s="23" t="str">
        <f>IF('02_Base_Solicitudes'!A127="","",'02_Base_Solicitudes'!R127)</f>
        <v/>
      </c>
      <c r="B129" s="30" t="str">
        <f>IF('02_Base_Solicitudes'!A127="","",'02_Base_Solicitudes'!A127)</f>
        <v/>
      </c>
      <c r="C129" s="23" t="str">
        <f>IF('02_Base_Solicitudes'!A127="","",'02_Base_Solicitudes'!C127)</f>
        <v/>
      </c>
      <c r="D129" s="23" t="str">
        <f>IF('02_Base_Solicitudes'!A127="","",'02_Base_Solicitudes'!D127)</f>
        <v/>
      </c>
      <c r="E129" s="23" t="str">
        <f>IF('02_Base_Solicitudes'!A127="","",'02_Base_Solicitudes'!E127)</f>
        <v/>
      </c>
      <c r="F129" s="23" t="str">
        <f>IF('02_Base_Solicitudes'!A127="","",'02_Base_Solicitudes'!G127)</f>
        <v/>
      </c>
      <c r="G129" s="23" t="str">
        <f>IF('02_Base_Solicitudes'!A127="","",'02_Base_Solicitudes'!H127)</f>
        <v/>
      </c>
      <c r="H129" s="32" t="str">
        <f>IF('02_Base_Solicitudes'!A127="","",'02_Base_Solicitudes'!I127)</f>
        <v/>
      </c>
      <c r="I129" s="30" t="str">
        <f>IF('02_Base_Solicitudes'!A127="","",'02_Base_Solicitudes'!J127)</f>
        <v/>
      </c>
      <c r="J129" s="23" t="str">
        <f>IF('02_Base_Solicitudes'!A127="","",'02_Base_Solicitudes'!M127)</f>
        <v/>
      </c>
      <c r="K129" s="33" t="str">
        <f>IF('02_Base_Solicitudes'!A127="","",'02_Base_Solicitudes'!K127)</f>
        <v/>
      </c>
      <c r="L129" s="19" t="str">
        <f t="shared" si="25"/>
        <v/>
      </c>
      <c r="M129" s="19"/>
      <c r="N129" s="34" t="str">
        <f t="shared" si="26"/>
        <v/>
      </c>
      <c r="O129" s="19"/>
      <c r="P129" s="34"/>
      <c r="Q129" s="19"/>
      <c r="R129" s="34"/>
      <c r="S129" s="19"/>
      <c r="T129" s="19"/>
      <c r="U129" s="19"/>
      <c r="V129" s="19"/>
      <c r="W129" s="34" t="str">
        <f t="shared" si="33"/>
        <v/>
      </c>
      <c r="X129" s="19"/>
      <c r="Y129" s="34"/>
      <c r="Z129" s="19"/>
      <c r="AA129" s="34"/>
      <c r="AB129" s="34"/>
      <c r="AC129" s="34" t="str">
        <f t="shared" si="27"/>
        <v/>
      </c>
      <c r="AD129" s="19"/>
      <c r="AE129" s="19"/>
      <c r="AF129" s="34" t="str">
        <f>OTMaestraTable[[#This Row],[Solicitante]]</f>
        <v/>
      </c>
      <c r="AG129" s="19"/>
      <c r="AH129" s="19" t="str">
        <f t="shared" si="28"/>
        <v/>
      </c>
      <c r="AI129" s="30" t="str">
        <f t="shared" si="29"/>
        <v/>
      </c>
      <c r="AJ129" s="30" t="str">
        <f t="shared" si="30"/>
        <v/>
      </c>
      <c r="AK129" s="30" t="str">
        <f t="shared" si="31"/>
        <v/>
      </c>
      <c r="AL129" s="19"/>
    </row>
    <row r="130" spans="1:38">
      <c r="A130" s="23" t="str">
        <f>IF('02_Base_Solicitudes'!A128="","",'02_Base_Solicitudes'!R128)</f>
        <v/>
      </c>
      <c r="B130" s="30" t="str">
        <f>IF('02_Base_Solicitudes'!A128="","",'02_Base_Solicitudes'!A128)</f>
        <v/>
      </c>
      <c r="C130" s="23" t="str">
        <f>IF('02_Base_Solicitudes'!A128="","",'02_Base_Solicitudes'!C128)</f>
        <v/>
      </c>
      <c r="D130" s="23" t="str">
        <f>IF('02_Base_Solicitudes'!A128="","",'02_Base_Solicitudes'!D128)</f>
        <v/>
      </c>
      <c r="E130" s="23" t="str">
        <f>IF('02_Base_Solicitudes'!A128="","",'02_Base_Solicitudes'!E128)</f>
        <v/>
      </c>
      <c r="F130" s="23" t="str">
        <f>IF('02_Base_Solicitudes'!A128="","",'02_Base_Solicitudes'!G128)</f>
        <v/>
      </c>
      <c r="G130" s="23" t="str">
        <f>IF('02_Base_Solicitudes'!A128="","",'02_Base_Solicitudes'!H128)</f>
        <v/>
      </c>
      <c r="H130" s="32" t="str">
        <f>IF('02_Base_Solicitudes'!A128="","",'02_Base_Solicitudes'!I128)</f>
        <v/>
      </c>
      <c r="I130" s="30" t="str">
        <f>IF('02_Base_Solicitudes'!A128="","",'02_Base_Solicitudes'!J128)</f>
        <v/>
      </c>
      <c r="J130" s="23" t="str">
        <f>IF('02_Base_Solicitudes'!A128="","",'02_Base_Solicitudes'!M128)</f>
        <v/>
      </c>
      <c r="K130" s="33" t="str">
        <f>IF('02_Base_Solicitudes'!A128="","",'02_Base_Solicitudes'!K128)</f>
        <v/>
      </c>
      <c r="L130" s="19" t="str">
        <f t="shared" si="25"/>
        <v/>
      </c>
      <c r="M130" s="19"/>
      <c r="N130" s="34" t="str">
        <f t="shared" si="26"/>
        <v/>
      </c>
      <c r="O130" s="19"/>
      <c r="P130" s="34"/>
      <c r="Q130" s="19"/>
      <c r="R130" s="34"/>
      <c r="S130" s="19"/>
      <c r="T130" s="19"/>
      <c r="U130" s="19"/>
      <c r="V130" s="19"/>
      <c r="W130" s="34" t="str">
        <f t="shared" si="33"/>
        <v/>
      </c>
      <c r="X130" s="19"/>
      <c r="Y130" s="34"/>
      <c r="Z130" s="19"/>
      <c r="AA130" s="34"/>
      <c r="AB130" s="34"/>
      <c r="AC130" s="34" t="str">
        <f t="shared" si="27"/>
        <v/>
      </c>
      <c r="AD130" s="19"/>
      <c r="AE130" s="19"/>
      <c r="AF130" s="34" t="str">
        <f>OTMaestraTable[[#This Row],[Solicitante]]</f>
        <v/>
      </c>
      <c r="AG130" s="19"/>
      <c r="AH130" s="19" t="str">
        <f t="shared" si="28"/>
        <v/>
      </c>
      <c r="AI130" s="30" t="str">
        <f t="shared" si="29"/>
        <v/>
      </c>
      <c r="AJ130" s="30" t="str">
        <f t="shared" si="30"/>
        <v/>
      </c>
      <c r="AK130" s="30" t="str">
        <f t="shared" si="31"/>
        <v/>
      </c>
      <c r="AL130" s="19"/>
    </row>
    <row r="131" spans="1:38">
      <c r="A131" s="23" t="str">
        <f>IF('02_Base_Solicitudes'!A129="","",'02_Base_Solicitudes'!R129)</f>
        <v/>
      </c>
      <c r="B131" s="30" t="str">
        <f>IF('02_Base_Solicitudes'!A129="","",'02_Base_Solicitudes'!A129)</f>
        <v/>
      </c>
      <c r="C131" s="23" t="str">
        <f>IF('02_Base_Solicitudes'!A129="","",'02_Base_Solicitudes'!C129)</f>
        <v/>
      </c>
      <c r="D131" s="23" t="str">
        <f>IF('02_Base_Solicitudes'!A129="","",'02_Base_Solicitudes'!D129)</f>
        <v/>
      </c>
      <c r="E131" s="23" t="str">
        <f>IF('02_Base_Solicitudes'!A129="","",'02_Base_Solicitudes'!E129)</f>
        <v/>
      </c>
      <c r="F131" s="23" t="str">
        <f>IF('02_Base_Solicitudes'!A129="","",'02_Base_Solicitudes'!G129)</f>
        <v/>
      </c>
      <c r="G131" s="23" t="str">
        <f>IF('02_Base_Solicitudes'!A129="","",'02_Base_Solicitudes'!H129)</f>
        <v/>
      </c>
      <c r="H131" s="32" t="str">
        <f>IF('02_Base_Solicitudes'!A129="","",'02_Base_Solicitudes'!I129)</f>
        <v/>
      </c>
      <c r="I131" s="30" t="str">
        <f>IF('02_Base_Solicitudes'!A129="","",'02_Base_Solicitudes'!J129)</f>
        <v/>
      </c>
      <c r="J131" s="23" t="str">
        <f>IF('02_Base_Solicitudes'!A129="","",'02_Base_Solicitudes'!M129)</f>
        <v/>
      </c>
      <c r="K131" s="33" t="str">
        <f>IF('02_Base_Solicitudes'!A129="","",'02_Base_Solicitudes'!K129)</f>
        <v/>
      </c>
      <c r="L131" s="19" t="str">
        <f t="shared" si="25"/>
        <v/>
      </c>
      <c r="M131" s="19"/>
      <c r="N131" s="34" t="str">
        <f t="shared" si="26"/>
        <v/>
      </c>
      <c r="O131" s="19"/>
      <c r="P131" s="34"/>
      <c r="Q131" s="19"/>
      <c r="R131" s="34"/>
      <c r="S131" s="19"/>
      <c r="T131" s="19"/>
      <c r="U131" s="19"/>
      <c r="V131" s="19"/>
      <c r="W131" s="34" t="str">
        <f t="shared" si="33"/>
        <v/>
      </c>
      <c r="X131" s="19"/>
      <c r="Y131" s="34"/>
      <c r="Z131" s="19"/>
      <c r="AA131" s="34"/>
      <c r="AB131" s="34"/>
      <c r="AC131" s="34" t="str">
        <f t="shared" si="27"/>
        <v/>
      </c>
      <c r="AD131" s="19"/>
      <c r="AE131" s="19"/>
      <c r="AF131" s="34" t="str">
        <f>OTMaestraTable[[#This Row],[Solicitante]]</f>
        <v/>
      </c>
      <c r="AG131" s="19"/>
      <c r="AH131" s="19" t="str">
        <f t="shared" si="28"/>
        <v/>
      </c>
      <c r="AI131" s="30" t="str">
        <f t="shared" si="29"/>
        <v/>
      </c>
      <c r="AJ131" s="30" t="str">
        <f t="shared" si="30"/>
        <v/>
      </c>
      <c r="AK131" s="30" t="str">
        <f t="shared" si="31"/>
        <v/>
      </c>
      <c r="AL131" s="19"/>
    </row>
    <row r="132" spans="1:38">
      <c r="A132" s="23" t="str">
        <f>IF('02_Base_Solicitudes'!A130="","",'02_Base_Solicitudes'!R130)</f>
        <v/>
      </c>
      <c r="B132" s="30" t="str">
        <f>IF('02_Base_Solicitudes'!A130="","",'02_Base_Solicitudes'!A130)</f>
        <v/>
      </c>
      <c r="C132" s="23" t="str">
        <f>IF('02_Base_Solicitudes'!A130="","",'02_Base_Solicitudes'!C130)</f>
        <v/>
      </c>
      <c r="D132" s="23" t="str">
        <f>IF('02_Base_Solicitudes'!A130="","",'02_Base_Solicitudes'!D130)</f>
        <v/>
      </c>
      <c r="E132" s="23" t="str">
        <f>IF('02_Base_Solicitudes'!A130="","",'02_Base_Solicitudes'!E130)</f>
        <v/>
      </c>
      <c r="F132" s="23" t="str">
        <f>IF('02_Base_Solicitudes'!A130="","",'02_Base_Solicitudes'!G130)</f>
        <v/>
      </c>
      <c r="G132" s="23" t="str">
        <f>IF('02_Base_Solicitudes'!A130="","",'02_Base_Solicitudes'!H130)</f>
        <v/>
      </c>
      <c r="H132" s="32" t="str">
        <f>IF('02_Base_Solicitudes'!A130="","",'02_Base_Solicitudes'!I130)</f>
        <v/>
      </c>
      <c r="I132" s="30" t="str">
        <f>IF('02_Base_Solicitudes'!A130="","",'02_Base_Solicitudes'!J130)</f>
        <v/>
      </c>
      <c r="J132" s="23" t="str">
        <f>IF('02_Base_Solicitudes'!A130="","",'02_Base_Solicitudes'!M130)</f>
        <v/>
      </c>
      <c r="K132" s="33" t="str">
        <f>IF('02_Base_Solicitudes'!A130="","",'02_Base_Solicitudes'!K130)</f>
        <v/>
      </c>
      <c r="L132" s="19" t="str">
        <f t="shared" ref="L132:L163" si="34">IF($A132="","","Julio Rivera")</f>
        <v/>
      </c>
      <c r="M132" s="19"/>
      <c r="N132" s="34" t="str">
        <f t="shared" ref="N132:N163" si="35">IF($A132="","","No")</f>
        <v/>
      </c>
      <c r="O132" s="19"/>
      <c r="P132" s="34"/>
      <c r="Q132" s="19"/>
      <c r="R132" s="34"/>
      <c r="S132" s="19"/>
      <c r="T132" s="19"/>
      <c r="U132" s="19"/>
      <c r="V132" s="19"/>
      <c r="W132" s="34" t="str">
        <f t="shared" si="33"/>
        <v/>
      </c>
      <c r="X132" s="19"/>
      <c r="Y132" s="34"/>
      <c r="Z132" s="19"/>
      <c r="AA132" s="34"/>
      <c r="AB132" s="34"/>
      <c r="AC132" s="34" t="str">
        <f t="shared" ref="AC132:AC163" si="36">IF($A132="","","Pendiente")</f>
        <v/>
      </c>
      <c r="AD132" s="19"/>
      <c r="AE132" s="19"/>
      <c r="AF132" s="34" t="str">
        <f>OTMaestraTable[[#This Row],[Solicitante]]</f>
        <v/>
      </c>
      <c r="AG132" s="19"/>
      <c r="AH132" s="19" t="str">
        <f t="shared" ref="AH132:AH163" si="37">IF($A132="","","Abierta")</f>
        <v/>
      </c>
      <c r="AI132" s="30" t="str">
        <f t="shared" ref="AI132:AI163" si="38">IF(AND(C132&lt;&gt;"",AG132&lt;&gt;""),AG132-C132,"")</f>
        <v/>
      </c>
      <c r="AJ132" s="30" t="str">
        <f t="shared" ref="AJ132:AJ163" si="39">IF(A132="","",IF(AND(AG132&lt;&gt;"",K132&lt;&gt;""),IF(AG132&lt;=K132,"Sí","No"),"Pendiente"))</f>
        <v/>
      </c>
      <c r="AK132" s="30" t="str">
        <f t="shared" ref="AK132:AK163" si="40">IF(A132="","",IF(AND($AH132="Cerrada",OR($AE132="",$AF132="",$AG132="")),"⚠ Cerrada incompleta",IF(AND($AH132&lt;&gt;"Cerrada",$AG132&lt;&gt;""),"⚠ Fecha cierre con estado abierto","OK")))</f>
        <v/>
      </c>
      <c r="AL132" s="19"/>
    </row>
    <row r="133" spans="1:38">
      <c r="A133" s="23" t="str">
        <f>IF('02_Base_Solicitudes'!A131="","",'02_Base_Solicitudes'!R131)</f>
        <v/>
      </c>
      <c r="B133" s="30" t="str">
        <f>IF('02_Base_Solicitudes'!A131="","",'02_Base_Solicitudes'!A131)</f>
        <v/>
      </c>
      <c r="C133" s="23" t="str">
        <f>IF('02_Base_Solicitudes'!A131="","",'02_Base_Solicitudes'!C131)</f>
        <v/>
      </c>
      <c r="D133" s="23" t="str">
        <f>IF('02_Base_Solicitudes'!A131="","",'02_Base_Solicitudes'!D131)</f>
        <v/>
      </c>
      <c r="E133" s="23" t="str">
        <f>IF('02_Base_Solicitudes'!A131="","",'02_Base_Solicitudes'!E131)</f>
        <v/>
      </c>
      <c r="F133" s="23" t="str">
        <f>IF('02_Base_Solicitudes'!A131="","",'02_Base_Solicitudes'!G131)</f>
        <v/>
      </c>
      <c r="G133" s="23" t="str">
        <f>IF('02_Base_Solicitudes'!A131="","",'02_Base_Solicitudes'!H131)</f>
        <v/>
      </c>
      <c r="H133" s="32" t="str">
        <f>IF('02_Base_Solicitudes'!A131="","",'02_Base_Solicitudes'!I131)</f>
        <v/>
      </c>
      <c r="I133" s="30" t="str">
        <f>IF('02_Base_Solicitudes'!A131="","",'02_Base_Solicitudes'!J131)</f>
        <v/>
      </c>
      <c r="J133" s="23" t="str">
        <f>IF('02_Base_Solicitudes'!A131="","",'02_Base_Solicitudes'!M131)</f>
        <v/>
      </c>
      <c r="K133" s="33" t="str">
        <f>IF('02_Base_Solicitudes'!A131="","",'02_Base_Solicitudes'!K131)</f>
        <v/>
      </c>
      <c r="L133" s="19" t="str">
        <f t="shared" si="34"/>
        <v/>
      </c>
      <c r="M133" s="19"/>
      <c r="N133" s="34" t="str">
        <f t="shared" si="35"/>
        <v/>
      </c>
      <c r="O133" s="19"/>
      <c r="P133" s="34"/>
      <c r="Q133" s="19"/>
      <c r="R133" s="34"/>
      <c r="S133" s="19"/>
      <c r="T133" s="19"/>
      <c r="U133" s="19"/>
      <c r="V133" s="19"/>
      <c r="W133" s="34" t="str">
        <f t="shared" si="33"/>
        <v/>
      </c>
      <c r="X133" s="19"/>
      <c r="Y133" s="34"/>
      <c r="Z133" s="19"/>
      <c r="AA133" s="34"/>
      <c r="AB133" s="34"/>
      <c r="AC133" s="34" t="str">
        <f t="shared" si="36"/>
        <v/>
      </c>
      <c r="AD133" s="19"/>
      <c r="AE133" s="19"/>
      <c r="AF133" s="34" t="str">
        <f>OTMaestraTable[[#This Row],[Solicitante]]</f>
        <v/>
      </c>
      <c r="AG133" s="19"/>
      <c r="AH133" s="19" t="str">
        <f t="shared" si="37"/>
        <v/>
      </c>
      <c r="AI133" s="30" t="str">
        <f t="shared" si="38"/>
        <v/>
      </c>
      <c r="AJ133" s="30" t="str">
        <f t="shared" si="39"/>
        <v/>
      </c>
      <c r="AK133" s="30" t="str">
        <f t="shared" si="40"/>
        <v/>
      </c>
      <c r="AL133" s="19"/>
    </row>
    <row r="134" spans="1:38">
      <c r="A134" s="23" t="str">
        <f>IF('02_Base_Solicitudes'!A132="","",'02_Base_Solicitudes'!R132)</f>
        <v/>
      </c>
      <c r="B134" s="30" t="str">
        <f>IF('02_Base_Solicitudes'!A132="","",'02_Base_Solicitudes'!A132)</f>
        <v/>
      </c>
      <c r="C134" s="23" t="str">
        <f>IF('02_Base_Solicitudes'!A132="","",'02_Base_Solicitudes'!C132)</f>
        <v/>
      </c>
      <c r="D134" s="23" t="str">
        <f>IF('02_Base_Solicitudes'!A132="","",'02_Base_Solicitudes'!D132)</f>
        <v/>
      </c>
      <c r="E134" s="23" t="str">
        <f>IF('02_Base_Solicitudes'!A132="","",'02_Base_Solicitudes'!E132)</f>
        <v/>
      </c>
      <c r="F134" s="23" t="str">
        <f>IF('02_Base_Solicitudes'!A132="","",'02_Base_Solicitudes'!G132)</f>
        <v/>
      </c>
      <c r="G134" s="23" t="str">
        <f>IF('02_Base_Solicitudes'!A132="","",'02_Base_Solicitudes'!H132)</f>
        <v/>
      </c>
      <c r="H134" s="32" t="str">
        <f>IF('02_Base_Solicitudes'!A132="","",'02_Base_Solicitudes'!I132)</f>
        <v/>
      </c>
      <c r="I134" s="30" t="str">
        <f>IF('02_Base_Solicitudes'!A132="","",'02_Base_Solicitudes'!J132)</f>
        <v/>
      </c>
      <c r="J134" s="23" t="str">
        <f>IF('02_Base_Solicitudes'!A132="","",'02_Base_Solicitudes'!M132)</f>
        <v/>
      </c>
      <c r="K134" s="33" t="str">
        <f>IF('02_Base_Solicitudes'!A132="","",'02_Base_Solicitudes'!K132)</f>
        <v/>
      </c>
      <c r="L134" s="19" t="str">
        <f t="shared" si="34"/>
        <v/>
      </c>
      <c r="M134" s="19"/>
      <c r="N134" s="34" t="str">
        <f t="shared" si="35"/>
        <v/>
      </c>
      <c r="O134" s="19"/>
      <c r="P134" s="34"/>
      <c r="Q134" s="19"/>
      <c r="R134" s="34"/>
      <c r="S134" s="19"/>
      <c r="T134" s="19"/>
      <c r="U134" s="19"/>
      <c r="V134" s="19"/>
      <c r="W134" s="34" t="str">
        <f t="shared" si="33"/>
        <v/>
      </c>
      <c r="X134" s="19"/>
      <c r="Y134" s="34"/>
      <c r="Z134" s="19"/>
      <c r="AA134" s="34"/>
      <c r="AB134" s="34"/>
      <c r="AC134" s="34" t="str">
        <f t="shared" si="36"/>
        <v/>
      </c>
      <c r="AD134" s="19"/>
      <c r="AE134" s="19"/>
      <c r="AF134" s="34" t="str">
        <f>OTMaestraTable[[#This Row],[Solicitante]]</f>
        <v/>
      </c>
      <c r="AG134" s="19"/>
      <c r="AH134" s="19" t="str">
        <f t="shared" si="37"/>
        <v/>
      </c>
      <c r="AI134" s="30" t="str">
        <f t="shared" si="38"/>
        <v/>
      </c>
      <c r="AJ134" s="30" t="str">
        <f t="shared" si="39"/>
        <v/>
      </c>
      <c r="AK134" s="30" t="str">
        <f t="shared" si="40"/>
        <v/>
      </c>
      <c r="AL134" s="19"/>
    </row>
    <row r="135" spans="1:38">
      <c r="A135" s="23" t="str">
        <f>IF('02_Base_Solicitudes'!A133="","",'02_Base_Solicitudes'!R133)</f>
        <v/>
      </c>
      <c r="B135" s="30" t="str">
        <f>IF('02_Base_Solicitudes'!A133="","",'02_Base_Solicitudes'!A133)</f>
        <v/>
      </c>
      <c r="C135" s="23" t="str">
        <f>IF('02_Base_Solicitudes'!A133="","",'02_Base_Solicitudes'!C133)</f>
        <v/>
      </c>
      <c r="D135" s="23" t="str">
        <f>IF('02_Base_Solicitudes'!A133="","",'02_Base_Solicitudes'!D133)</f>
        <v/>
      </c>
      <c r="E135" s="23" t="str">
        <f>IF('02_Base_Solicitudes'!A133="","",'02_Base_Solicitudes'!E133)</f>
        <v/>
      </c>
      <c r="F135" s="23" t="str">
        <f>IF('02_Base_Solicitudes'!A133="","",'02_Base_Solicitudes'!G133)</f>
        <v/>
      </c>
      <c r="G135" s="23" t="str">
        <f>IF('02_Base_Solicitudes'!A133="","",'02_Base_Solicitudes'!H133)</f>
        <v/>
      </c>
      <c r="H135" s="32" t="str">
        <f>IF('02_Base_Solicitudes'!A133="","",'02_Base_Solicitudes'!I133)</f>
        <v/>
      </c>
      <c r="I135" s="30" t="str">
        <f>IF('02_Base_Solicitudes'!A133="","",'02_Base_Solicitudes'!J133)</f>
        <v/>
      </c>
      <c r="J135" s="23" t="str">
        <f>IF('02_Base_Solicitudes'!A133="","",'02_Base_Solicitudes'!M133)</f>
        <v/>
      </c>
      <c r="K135" s="33" t="str">
        <f>IF('02_Base_Solicitudes'!A133="","",'02_Base_Solicitudes'!K133)</f>
        <v/>
      </c>
      <c r="L135" s="19" t="str">
        <f t="shared" si="34"/>
        <v/>
      </c>
      <c r="M135" s="19"/>
      <c r="N135" s="34" t="str">
        <f t="shared" si="35"/>
        <v/>
      </c>
      <c r="O135" s="19"/>
      <c r="P135" s="34"/>
      <c r="Q135" s="19"/>
      <c r="R135" s="34"/>
      <c r="S135" s="19"/>
      <c r="T135" s="19"/>
      <c r="U135" s="19"/>
      <c r="V135" s="19"/>
      <c r="W135" s="34" t="str">
        <f t="shared" si="33"/>
        <v/>
      </c>
      <c r="X135" s="19"/>
      <c r="Y135" s="34"/>
      <c r="Z135" s="19"/>
      <c r="AA135" s="34"/>
      <c r="AB135" s="34"/>
      <c r="AC135" s="34" t="str">
        <f t="shared" si="36"/>
        <v/>
      </c>
      <c r="AD135" s="19"/>
      <c r="AE135" s="19"/>
      <c r="AF135" s="34" t="str">
        <f>OTMaestraTable[[#This Row],[Solicitante]]</f>
        <v/>
      </c>
      <c r="AG135" s="19"/>
      <c r="AH135" s="19" t="str">
        <f t="shared" si="37"/>
        <v/>
      </c>
      <c r="AI135" s="30" t="str">
        <f t="shared" si="38"/>
        <v/>
      </c>
      <c r="AJ135" s="30" t="str">
        <f t="shared" si="39"/>
        <v/>
      </c>
      <c r="AK135" s="30" t="str">
        <f t="shared" si="40"/>
        <v/>
      </c>
      <c r="AL135" s="19"/>
    </row>
    <row r="136" spans="1:38">
      <c r="A136" s="23" t="str">
        <f>IF('02_Base_Solicitudes'!A134="","",'02_Base_Solicitudes'!R134)</f>
        <v/>
      </c>
      <c r="B136" s="30" t="str">
        <f>IF('02_Base_Solicitudes'!A134="","",'02_Base_Solicitudes'!A134)</f>
        <v/>
      </c>
      <c r="C136" s="23" t="str">
        <f>IF('02_Base_Solicitudes'!A134="","",'02_Base_Solicitudes'!C134)</f>
        <v/>
      </c>
      <c r="D136" s="23" t="str">
        <f>IF('02_Base_Solicitudes'!A134="","",'02_Base_Solicitudes'!D134)</f>
        <v/>
      </c>
      <c r="E136" s="23" t="str">
        <f>IF('02_Base_Solicitudes'!A134="","",'02_Base_Solicitudes'!E134)</f>
        <v/>
      </c>
      <c r="F136" s="23" t="str">
        <f>IF('02_Base_Solicitudes'!A134="","",'02_Base_Solicitudes'!G134)</f>
        <v/>
      </c>
      <c r="G136" s="23" t="str">
        <f>IF('02_Base_Solicitudes'!A134="","",'02_Base_Solicitudes'!H134)</f>
        <v/>
      </c>
      <c r="H136" s="32" t="str">
        <f>IF('02_Base_Solicitudes'!A134="","",'02_Base_Solicitudes'!I134)</f>
        <v/>
      </c>
      <c r="I136" s="30" t="str">
        <f>IF('02_Base_Solicitudes'!A134="","",'02_Base_Solicitudes'!J134)</f>
        <v/>
      </c>
      <c r="J136" s="23" t="str">
        <f>IF('02_Base_Solicitudes'!A134="","",'02_Base_Solicitudes'!M134)</f>
        <v/>
      </c>
      <c r="K136" s="33" t="str">
        <f>IF('02_Base_Solicitudes'!A134="","",'02_Base_Solicitudes'!K134)</f>
        <v/>
      </c>
      <c r="L136" s="19" t="str">
        <f t="shared" si="34"/>
        <v/>
      </c>
      <c r="M136" s="19"/>
      <c r="N136" s="34" t="str">
        <f t="shared" si="35"/>
        <v/>
      </c>
      <c r="O136" s="19"/>
      <c r="P136" s="34"/>
      <c r="Q136" s="19"/>
      <c r="R136" s="34"/>
      <c r="S136" s="19"/>
      <c r="T136" s="19"/>
      <c r="U136" s="19"/>
      <c r="V136" s="19"/>
      <c r="W136" s="34" t="str">
        <f t="shared" si="33"/>
        <v/>
      </c>
      <c r="X136" s="19"/>
      <c r="Y136" s="34"/>
      <c r="Z136" s="19"/>
      <c r="AA136" s="34"/>
      <c r="AB136" s="34"/>
      <c r="AC136" s="34" t="str">
        <f t="shared" si="36"/>
        <v/>
      </c>
      <c r="AD136" s="19"/>
      <c r="AE136" s="19"/>
      <c r="AF136" s="34" t="str">
        <f>OTMaestraTable[[#This Row],[Solicitante]]</f>
        <v/>
      </c>
      <c r="AG136" s="19"/>
      <c r="AH136" s="19" t="str">
        <f t="shared" si="37"/>
        <v/>
      </c>
      <c r="AI136" s="30" t="str">
        <f t="shared" si="38"/>
        <v/>
      </c>
      <c r="AJ136" s="30" t="str">
        <f t="shared" si="39"/>
        <v/>
      </c>
      <c r="AK136" s="30" t="str">
        <f t="shared" si="40"/>
        <v/>
      </c>
      <c r="AL136" s="19"/>
    </row>
    <row r="137" spans="1:38">
      <c r="A137" s="23" t="str">
        <f>IF('02_Base_Solicitudes'!A135="","",'02_Base_Solicitudes'!R135)</f>
        <v/>
      </c>
      <c r="B137" s="30" t="str">
        <f>IF('02_Base_Solicitudes'!A135="","",'02_Base_Solicitudes'!A135)</f>
        <v/>
      </c>
      <c r="C137" s="23" t="str">
        <f>IF('02_Base_Solicitudes'!A135="","",'02_Base_Solicitudes'!C135)</f>
        <v/>
      </c>
      <c r="D137" s="23" t="str">
        <f>IF('02_Base_Solicitudes'!A135="","",'02_Base_Solicitudes'!D135)</f>
        <v/>
      </c>
      <c r="E137" s="23" t="str">
        <f>IF('02_Base_Solicitudes'!A135="","",'02_Base_Solicitudes'!E135)</f>
        <v/>
      </c>
      <c r="F137" s="23" t="str">
        <f>IF('02_Base_Solicitudes'!A135="","",'02_Base_Solicitudes'!G135)</f>
        <v/>
      </c>
      <c r="G137" s="23" t="str">
        <f>IF('02_Base_Solicitudes'!A135="","",'02_Base_Solicitudes'!H135)</f>
        <v/>
      </c>
      <c r="H137" s="32" t="str">
        <f>IF('02_Base_Solicitudes'!A135="","",'02_Base_Solicitudes'!I135)</f>
        <v/>
      </c>
      <c r="I137" s="30" t="str">
        <f>IF('02_Base_Solicitudes'!A135="","",'02_Base_Solicitudes'!J135)</f>
        <v/>
      </c>
      <c r="J137" s="23" t="str">
        <f>IF('02_Base_Solicitudes'!A135="","",'02_Base_Solicitudes'!M135)</f>
        <v/>
      </c>
      <c r="K137" s="33" t="str">
        <f>IF('02_Base_Solicitudes'!A135="","",'02_Base_Solicitudes'!K135)</f>
        <v/>
      </c>
      <c r="L137" s="19" t="str">
        <f t="shared" si="34"/>
        <v/>
      </c>
      <c r="M137" s="19"/>
      <c r="N137" s="34" t="str">
        <f t="shared" si="35"/>
        <v/>
      </c>
      <c r="O137" s="19"/>
      <c r="P137" s="34"/>
      <c r="Q137" s="19"/>
      <c r="R137" s="34"/>
      <c r="S137" s="19"/>
      <c r="T137" s="19"/>
      <c r="U137" s="19"/>
      <c r="V137" s="19"/>
      <c r="W137" s="34" t="str">
        <f t="shared" si="33"/>
        <v/>
      </c>
      <c r="X137" s="19"/>
      <c r="Y137" s="34"/>
      <c r="Z137" s="19"/>
      <c r="AA137" s="34"/>
      <c r="AB137" s="34"/>
      <c r="AC137" s="34" t="str">
        <f t="shared" si="36"/>
        <v/>
      </c>
      <c r="AD137" s="19"/>
      <c r="AE137" s="19"/>
      <c r="AF137" s="34" t="str">
        <f>OTMaestraTable[[#This Row],[Solicitante]]</f>
        <v/>
      </c>
      <c r="AG137" s="19"/>
      <c r="AH137" s="19" t="str">
        <f t="shared" si="37"/>
        <v/>
      </c>
      <c r="AI137" s="30" t="str">
        <f t="shared" si="38"/>
        <v/>
      </c>
      <c r="AJ137" s="30" t="str">
        <f t="shared" si="39"/>
        <v/>
      </c>
      <c r="AK137" s="30" t="str">
        <f t="shared" si="40"/>
        <v/>
      </c>
      <c r="AL137" s="19"/>
    </row>
    <row r="138" spans="1:38">
      <c r="A138" s="23" t="str">
        <f>IF('02_Base_Solicitudes'!A136="","",'02_Base_Solicitudes'!R136)</f>
        <v/>
      </c>
      <c r="B138" s="30" t="str">
        <f>IF('02_Base_Solicitudes'!A136="","",'02_Base_Solicitudes'!A136)</f>
        <v/>
      </c>
      <c r="C138" s="23" t="str">
        <f>IF('02_Base_Solicitudes'!A136="","",'02_Base_Solicitudes'!C136)</f>
        <v/>
      </c>
      <c r="D138" s="23" t="str">
        <f>IF('02_Base_Solicitudes'!A136="","",'02_Base_Solicitudes'!D136)</f>
        <v/>
      </c>
      <c r="E138" s="23" t="str">
        <f>IF('02_Base_Solicitudes'!A136="","",'02_Base_Solicitudes'!E136)</f>
        <v/>
      </c>
      <c r="F138" s="23" t="str">
        <f>IF('02_Base_Solicitudes'!A136="","",'02_Base_Solicitudes'!G136)</f>
        <v/>
      </c>
      <c r="G138" s="23" t="str">
        <f>IF('02_Base_Solicitudes'!A136="","",'02_Base_Solicitudes'!H136)</f>
        <v/>
      </c>
      <c r="H138" s="32" t="str">
        <f>IF('02_Base_Solicitudes'!A136="","",'02_Base_Solicitudes'!I136)</f>
        <v/>
      </c>
      <c r="I138" s="30" t="str">
        <f>IF('02_Base_Solicitudes'!A136="","",'02_Base_Solicitudes'!J136)</f>
        <v/>
      </c>
      <c r="J138" s="23" t="str">
        <f>IF('02_Base_Solicitudes'!A136="","",'02_Base_Solicitudes'!M136)</f>
        <v/>
      </c>
      <c r="K138" s="33" t="str">
        <f>IF('02_Base_Solicitudes'!A136="","",'02_Base_Solicitudes'!K136)</f>
        <v/>
      </c>
      <c r="L138" s="19" t="str">
        <f t="shared" si="34"/>
        <v/>
      </c>
      <c r="M138" s="19"/>
      <c r="N138" s="34" t="str">
        <f t="shared" si="35"/>
        <v/>
      </c>
      <c r="O138" s="19"/>
      <c r="P138" s="34"/>
      <c r="Q138" s="19"/>
      <c r="R138" s="34"/>
      <c r="S138" s="19"/>
      <c r="T138" s="19"/>
      <c r="U138" s="19"/>
      <c r="V138" s="19"/>
      <c r="W138" s="34" t="str">
        <f t="shared" si="33"/>
        <v/>
      </c>
      <c r="X138" s="19"/>
      <c r="Y138" s="34"/>
      <c r="Z138" s="19"/>
      <c r="AA138" s="34"/>
      <c r="AB138" s="34"/>
      <c r="AC138" s="34" t="str">
        <f t="shared" si="36"/>
        <v/>
      </c>
      <c r="AD138" s="19"/>
      <c r="AE138" s="19"/>
      <c r="AF138" s="34" t="str">
        <f>OTMaestraTable[[#This Row],[Solicitante]]</f>
        <v/>
      </c>
      <c r="AG138" s="19"/>
      <c r="AH138" s="19" t="str">
        <f t="shared" si="37"/>
        <v/>
      </c>
      <c r="AI138" s="30" t="str">
        <f t="shared" si="38"/>
        <v/>
      </c>
      <c r="AJ138" s="30" t="str">
        <f t="shared" si="39"/>
        <v/>
      </c>
      <c r="AK138" s="30" t="str">
        <f t="shared" si="40"/>
        <v/>
      </c>
      <c r="AL138" s="19"/>
    </row>
    <row r="139" spans="1:38">
      <c r="A139" s="23" t="str">
        <f>IF('02_Base_Solicitudes'!A137="","",'02_Base_Solicitudes'!R137)</f>
        <v/>
      </c>
      <c r="B139" s="30" t="str">
        <f>IF('02_Base_Solicitudes'!A137="","",'02_Base_Solicitudes'!A137)</f>
        <v/>
      </c>
      <c r="C139" s="23" t="str">
        <f>IF('02_Base_Solicitudes'!A137="","",'02_Base_Solicitudes'!C137)</f>
        <v/>
      </c>
      <c r="D139" s="23" t="str">
        <f>IF('02_Base_Solicitudes'!A137="","",'02_Base_Solicitudes'!D137)</f>
        <v/>
      </c>
      <c r="E139" s="23" t="str">
        <f>IF('02_Base_Solicitudes'!A137="","",'02_Base_Solicitudes'!E137)</f>
        <v/>
      </c>
      <c r="F139" s="23" t="str">
        <f>IF('02_Base_Solicitudes'!A137="","",'02_Base_Solicitudes'!G137)</f>
        <v/>
      </c>
      <c r="G139" s="23" t="str">
        <f>IF('02_Base_Solicitudes'!A137="","",'02_Base_Solicitudes'!H137)</f>
        <v/>
      </c>
      <c r="H139" s="32" t="str">
        <f>IF('02_Base_Solicitudes'!A137="","",'02_Base_Solicitudes'!I137)</f>
        <v/>
      </c>
      <c r="I139" s="30" t="str">
        <f>IF('02_Base_Solicitudes'!A137="","",'02_Base_Solicitudes'!J137)</f>
        <v/>
      </c>
      <c r="J139" s="23" t="str">
        <f>IF('02_Base_Solicitudes'!A137="","",'02_Base_Solicitudes'!M137)</f>
        <v/>
      </c>
      <c r="K139" s="33" t="str">
        <f>IF('02_Base_Solicitudes'!A137="","",'02_Base_Solicitudes'!K137)</f>
        <v/>
      </c>
      <c r="L139" s="19" t="str">
        <f t="shared" si="34"/>
        <v/>
      </c>
      <c r="M139" s="19"/>
      <c r="N139" s="34" t="str">
        <f t="shared" si="35"/>
        <v/>
      </c>
      <c r="O139" s="19"/>
      <c r="P139" s="34"/>
      <c r="Q139" s="19"/>
      <c r="R139" s="34"/>
      <c r="S139" s="19"/>
      <c r="T139" s="19"/>
      <c r="U139" s="19"/>
      <c r="V139" s="19"/>
      <c r="W139" s="34" t="str">
        <f t="shared" si="33"/>
        <v/>
      </c>
      <c r="X139" s="19"/>
      <c r="Y139" s="34"/>
      <c r="Z139" s="19"/>
      <c r="AA139" s="34"/>
      <c r="AB139" s="34"/>
      <c r="AC139" s="34" t="str">
        <f t="shared" si="36"/>
        <v/>
      </c>
      <c r="AD139" s="19"/>
      <c r="AE139" s="19"/>
      <c r="AF139" s="34" t="str">
        <f>OTMaestraTable[[#This Row],[Solicitante]]</f>
        <v/>
      </c>
      <c r="AG139" s="19"/>
      <c r="AH139" s="19" t="str">
        <f t="shared" si="37"/>
        <v/>
      </c>
      <c r="AI139" s="30" t="str">
        <f t="shared" si="38"/>
        <v/>
      </c>
      <c r="AJ139" s="30" t="str">
        <f t="shared" si="39"/>
        <v/>
      </c>
      <c r="AK139" s="30" t="str">
        <f t="shared" si="40"/>
        <v/>
      </c>
      <c r="AL139" s="19"/>
    </row>
    <row r="140" spans="1:38">
      <c r="A140" s="23" t="str">
        <f>IF('02_Base_Solicitudes'!A138="","",'02_Base_Solicitudes'!R138)</f>
        <v/>
      </c>
      <c r="B140" s="30" t="str">
        <f>IF('02_Base_Solicitudes'!A138="","",'02_Base_Solicitudes'!A138)</f>
        <v/>
      </c>
      <c r="C140" s="23" t="str">
        <f>IF('02_Base_Solicitudes'!A138="","",'02_Base_Solicitudes'!C138)</f>
        <v/>
      </c>
      <c r="D140" s="23" t="str">
        <f>IF('02_Base_Solicitudes'!A138="","",'02_Base_Solicitudes'!D138)</f>
        <v/>
      </c>
      <c r="E140" s="23" t="str">
        <f>IF('02_Base_Solicitudes'!A138="","",'02_Base_Solicitudes'!E138)</f>
        <v/>
      </c>
      <c r="F140" s="23" t="str">
        <f>IF('02_Base_Solicitudes'!A138="","",'02_Base_Solicitudes'!G138)</f>
        <v/>
      </c>
      <c r="G140" s="23" t="str">
        <f>IF('02_Base_Solicitudes'!A138="","",'02_Base_Solicitudes'!H138)</f>
        <v/>
      </c>
      <c r="H140" s="32" t="str">
        <f>IF('02_Base_Solicitudes'!A138="","",'02_Base_Solicitudes'!I138)</f>
        <v/>
      </c>
      <c r="I140" s="30" t="str">
        <f>IF('02_Base_Solicitudes'!A138="","",'02_Base_Solicitudes'!J138)</f>
        <v/>
      </c>
      <c r="J140" s="23" t="str">
        <f>IF('02_Base_Solicitudes'!A138="","",'02_Base_Solicitudes'!M138)</f>
        <v/>
      </c>
      <c r="K140" s="33" t="str">
        <f>IF('02_Base_Solicitudes'!A138="","",'02_Base_Solicitudes'!K138)</f>
        <v/>
      </c>
      <c r="L140" s="19" t="str">
        <f t="shared" si="34"/>
        <v/>
      </c>
      <c r="M140" s="19"/>
      <c r="N140" s="34" t="str">
        <f t="shared" si="35"/>
        <v/>
      </c>
      <c r="O140" s="19"/>
      <c r="P140" s="34"/>
      <c r="Q140" s="19"/>
      <c r="R140" s="34"/>
      <c r="S140" s="19"/>
      <c r="T140" s="19"/>
      <c r="U140" s="19"/>
      <c r="V140" s="19"/>
      <c r="W140" s="34" t="str">
        <f t="shared" si="33"/>
        <v/>
      </c>
      <c r="X140" s="19"/>
      <c r="Y140" s="34"/>
      <c r="Z140" s="19"/>
      <c r="AA140" s="34"/>
      <c r="AB140" s="34"/>
      <c r="AC140" s="34" t="str">
        <f t="shared" si="36"/>
        <v/>
      </c>
      <c r="AD140" s="19"/>
      <c r="AE140" s="19"/>
      <c r="AF140" s="34" t="str">
        <f>OTMaestraTable[[#This Row],[Solicitante]]</f>
        <v/>
      </c>
      <c r="AG140" s="19"/>
      <c r="AH140" s="19" t="str">
        <f t="shared" si="37"/>
        <v/>
      </c>
      <c r="AI140" s="30" t="str">
        <f t="shared" si="38"/>
        <v/>
      </c>
      <c r="AJ140" s="30" t="str">
        <f t="shared" si="39"/>
        <v/>
      </c>
      <c r="AK140" s="30" t="str">
        <f t="shared" si="40"/>
        <v/>
      </c>
      <c r="AL140" s="19"/>
    </row>
    <row r="141" spans="1:38">
      <c r="A141" s="23" t="str">
        <f>IF('02_Base_Solicitudes'!A139="","",'02_Base_Solicitudes'!R139)</f>
        <v/>
      </c>
      <c r="B141" s="30" t="str">
        <f>IF('02_Base_Solicitudes'!A139="","",'02_Base_Solicitudes'!A139)</f>
        <v/>
      </c>
      <c r="C141" s="23" t="str">
        <f>IF('02_Base_Solicitudes'!A139="","",'02_Base_Solicitudes'!C139)</f>
        <v/>
      </c>
      <c r="D141" s="23" t="str">
        <f>IF('02_Base_Solicitudes'!A139="","",'02_Base_Solicitudes'!D139)</f>
        <v/>
      </c>
      <c r="E141" s="23" t="str">
        <f>IF('02_Base_Solicitudes'!A139="","",'02_Base_Solicitudes'!E139)</f>
        <v/>
      </c>
      <c r="F141" s="23" t="str">
        <f>IF('02_Base_Solicitudes'!A139="","",'02_Base_Solicitudes'!G139)</f>
        <v/>
      </c>
      <c r="G141" s="23" t="str">
        <f>IF('02_Base_Solicitudes'!A139="","",'02_Base_Solicitudes'!H139)</f>
        <v/>
      </c>
      <c r="H141" s="32" t="str">
        <f>IF('02_Base_Solicitudes'!A139="","",'02_Base_Solicitudes'!I139)</f>
        <v/>
      </c>
      <c r="I141" s="30" t="str">
        <f>IF('02_Base_Solicitudes'!A139="","",'02_Base_Solicitudes'!J139)</f>
        <v/>
      </c>
      <c r="J141" s="23" t="str">
        <f>IF('02_Base_Solicitudes'!A139="","",'02_Base_Solicitudes'!M139)</f>
        <v/>
      </c>
      <c r="K141" s="33" t="str">
        <f>IF('02_Base_Solicitudes'!A139="","",'02_Base_Solicitudes'!K139)</f>
        <v/>
      </c>
      <c r="L141" s="19" t="str">
        <f t="shared" si="34"/>
        <v/>
      </c>
      <c r="M141" s="19"/>
      <c r="N141" s="34" t="str">
        <f t="shared" si="35"/>
        <v/>
      </c>
      <c r="O141" s="19"/>
      <c r="P141" s="34"/>
      <c r="Q141" s="19"/>
      <c r="R141" s="34"/>
      <c r="S141" s="19"/>
      <c r="T141" s="19"/>
      <c r="U141" s="19"/>
      <c r="V141" s="19"/>
      <c r="W141" s="34" t="str">
        <f t="shared" si="33"/>
        <v/>
      </c>
      <c r="X141" s="19"/>
      <c r="Y141" s="34"/>
      <c r="Z141" s="19"/>
      <c r="AA141" s="34"/>
      <c r="AB141" s="34"/>
      <c r="AC141" s="34" t="str">
        <f t="shared" si="36"/>
        <v/>
      </c>
      <c r="AD141" s="19"/>
      <c r="AE141" s="19"/>
      <c r="AF141" s="34" t="str">
        <f>OTMaestraTable[[#This Row],[Solicitante]]</f>
        <v/>
      </c>
      <c r="AG141" s="19"/>
      <c r="AH141" s="19" t="str">
        <f t="shared" si="37"/>
        <v/>
      </c>
      <c r="AI141" s="30" t="str">
        <f t="shared" si="38"/>
        <v/>
      </c>
      <c r="AJ141" s="30" t="str">
        <f t="shared" si="39"/>
        <v/>
      </c>
      <c r="AK141" s="30" t="str">
        <f t="shared" si="40"/>
        <v/>
      </c>
      <c r="AL141" s="19"/>
    </row>
    <row r="142" spans="1:38">
      <c r="A142" s="23" t="str">
        <f>IF('02_Base_Solicitudes'!A140="","",'02_Base_Solicitudes'!R140)</f>
        <v/>
      </c>
      <c r="B142" s="30" t="str">
        <f>IF('02_Base_Solicitudes'!A140="","",'02_Base_Solicitudes'!A140)</f>
        <v/>
      </c>
      <c r="C142" s="23" t="str">
        <f>IF('02_Base_Solicitudes'!A140="","",'02_Base_Solicitudes'!C140)</f>
        <v/>
      </c>
      <c r="D142" s="23" t="str">
        <f>IF('02_Base_Solicitudes'!A140="","",'02_Base_Solicitudes'!D140)</f>
        <v/>
      </c>
      <c r="E142" s="23" t="str">
        <f>IF('02_Base_Solicitudes'!A140="","",'02_Base_Solicitudes'!E140)</f>
        <v/>
      </c>
      <c r="F142" s="23" t="str">
        <f>IF('02_Base_Solicitudes'!A140="","",'02_Base_Solicitudes'!G140)</f>
        <v/>
      </c>
      <c r="G142" s="23" t="str">
        <f>IF('02_Base_Solicitudes'!A140="","",'02_Base_Solicitudes'!H140)</f>
        <v/>
      </c>
      <c r="H142" s="32" t="str">
        <f>IF('02_Base_Solicitudes'!A140="","",'02_Base_Solicitudes'!I140)</f>
        <v/>
      </c>
      <c r="I142" s="30" t="str">
        <f>IF('02_Base_Solicitudes'!A140="","",'02_Base_Solicitudes'!J140)</f>
        <v/>
      </c>
      <c r="J142" s="23" t="str">
        <f>IF('02_Base_Solicitudes'!A140="","",'02_Base_Solicitudes'!M140)</f>
        <v/>
      </c>
      <c r="K142" s="33" t="str">
        <f>IF('02_Base_Solicitudes'!A140="","",'02_Base_Solicitudes'!K140)</f>
        <v/>
      </c>
      <c r="L142" s="19" t="str">
        <f t="shared" si="34"/>
        <v/>
      </c>
      <c r="M142" s="19"/>
      <c r="N142" s="34" t="str">
        <f t="shared" si="35"/>
        <v/>
      </c>
      <c r="O142" s="19"/>
      <c r="P142" s="34"/>
      <c r="Q142" s="19"/>
      <c r="R142" s="34"/>
      <c r="S142" s="19"/>
      <c r="T142" s="19"/>
      <c r="U142" s="19"/>
      <c r="V142" s="19"/>
      <c r="W142" s="34" t="str">
        <f t="shared" si="33"/>
        <v/>
      </c>
      <c r="X142" s="19"/>
      <c r="Y142" s="34"/>
      <c r="Z142" s="19"/>
      <c r="AA142" s="34"/>
      <c r="AB142" s="34"/>
      <c r="AC142" s="34" t="str">
        <f t="shared" si="36"/>
        <v/>
      </c>
      <c r="AD142" s="19"/>
      <c r="AE142" s="19"/>
      <c r="AF142" s="34" t="str">
        <f>OTMaestraTable[[#This Row],[Solicitante]]</f>
        <v/>
      </c>
      <c r="AG142" s="19"/>
      <c r="AH142" s="19" t="str">
        <f t="shared" si="37"/>
        <v/>
      </c>
      <c r="AI142" s="30" t="str">
        <f t="shared" si="38"/>
        <v/>
      </c>
      <c r="AJ142" s="30" t="str">
        <f t="shared" si="39"/>
        <v/>
      </c>
      <c r="AK142" s="30" t="str">
        <f t="shared" si="40"/>
        <v/>
      </c>
      <c r="AL142" s="19"/>
    </row>
    <row r="143" spans="1:38">
      <c r="A143" s="23" t="str">
        <f>IF('02_Base_Solicitudes'!A141="","",'02_Base_Solicitudes'!R141)</f>
        <v/>
      </c>
      <c r="B143" s="30" t="str">
        <f>IF('02_Base_Solicitudes'!A141="","",'02_Base_Solicitudes'!A141)</f>
        <v/>
      </c>
      <c r="C143" s="23" t="str">
        <f>IF('02_Base_Solicitudes'!A141="","",'02_Base_Solicitudes'!C141)</f>
        <v/>
      </c>
      <c r="D143" s="23" t="str">
        <f>IF('02_Base_Solicitudes'!A141="","",'02_Base_Solicitudes'!D141)</f>
        <v/>
      </c>
      <c r="E143" s="23" t="str">
        <f>IF('02_Base_Solicitudes'!A141="","",'02_Base_Solicitudes'!E141)</f>
        <v/>
      </c>
      <c r="F143" s="23" t="str">
        <f>IF('02_Base_Solicitudes'!A141="","",'02_Base_Solicitudes'!G141)</f>
        <v/>
      </c>
      <c r="G143" s="23" t="str">
        <f>IF('02_Base_Solicitudes'!A141="","",'02_Base_Solicitudes'!H141)</f>
        <v/>
      </c>
      <c r="H143" s="32" t="str">
        <f>IF('02_Base_Solicitudes'!A141="","",'02_Base_Solicitudes'!I141)</f>
        <v/>
      </c>
      <c r="I143" s="30" t="str">
        <f>IF('02_Base_Solicitudes'!A141="","",'02_Base_Solicitudes'!J141)</f>
        <v/>
      </c>
      <c r="J143" s="23" t="str">
        <f>IF('02_Base_Solicitudes'!A141="","",'02_Base_Solicitudes'!M141)</f>
        <v/>
      </c>
      <c r="K143" s="33" t="str">
        <f>IF('02_Base_Solicitudes'!A141="","",'02_Base_Solicitudes'!K141)</f>
        <v/>
      </c>
      <c r="L143" s="19" t="str">
        <f t="shared" si="34"/>
        <v/>
      </c>
      <c r="M143" s="19"/>
      <c r="N143" s="34" t="str">
        <f t="shared" si="35"/>
        <v/>
      </c>
      <c r="O143" s="19"/>
      <c r="P143" s="34"/>
      <c r="Q143" s="19"/>
      <c r="R143" s="34"/>
      <c r="S143" s="19"/>
      <c r="T143" s="19"/>
      <c r="U143" s="19"/>
      <c r="V143" s="19"/>
      <c r="W143" s="34" t="str">
        <f t="shared" si="33"/>
        <v/>
      </c>
      <c r="X143" s="19"/>
      <c r="Y143" s="34"/>
      <c r="Z143" s="19"/>
      <c r="AA143" s="34"/>
      <c r="AB143" s="34"/>
      <c r="AC143" s="34" t="str">
        <f t="shared" si="36"/>
        <v/>
      </c>
      <c r="AD143" s="19"/>
      <c r="AE143" s="19"/>
      <c r="AF143" s="34" t="str">
        <f>OTMaestraTable[[#This Row],[Solicitante]]</f>
        <v/>
      </c>
      <c r="AG143" s="19"/>
      <c r="AH143" s="19" t="str">
        <f t="shared" si="37"/>
        <v/>
      </c>
      <c r="AI143" s="30" t="str">
        <f t="shared" si="38"/>
        <v/>
      </c>
      <c r="AJ143" s="30" t="str">
        <f t="shared" si="39"/>
        <v/>
      </c>
      <c r="AK143" s="30" t="str">
        <f t="shared" si="40"/>
        <v/>
      </c>
      <c r="AL143" s="19"/>
    </row>
    <row r="144" spans="1:38">
      <c r="A144" s="23" t="str">
        <f>IF('02_Base_Solicitudes'!A142="","",'02_Base_Solicitudes'!R142)</f>
        <v/>
      </c>
      <c r="B144" s="30" t="str">
        <f>IF('02_Base_Solicitudes'!A142="","",'02_Base_Solicitudes'!A142)</f>
        <v/>
      </c>
      <c r="C144" s="23" t="str">
        <f>IF('02_Base_Solicitudes'!A142="","",'02_Base_Solicitudes'!C142)</f>
        <v/>
      </c>
      <c r="D144" s="23" t="str">
        <f>IF('02_Base_Solicitudes'!A142="","",'02_Base_Solicitudes'!D142)</f>
        <v/>
      </c>
      <c r="E144" s="23" t="str">
        <f>IF('02_Base_Solicitudes'!A142="","",'02_Base_Solicitudes'!E142)</f>
        <v/>
      </c>
      <c r="F144" s="23" t="str">
        <f>IF('02_Base_Solicitudes'!A142="","",'02_Base_Solicitudes'!G142)</f>
        <v/>
      </c>
      <c r="G144" s="23" t="str">
        <f>IF('02_Base_Solicitudes'!A142="","",'02_Base_Solicitudes'!H142)</f>
        <v/>
      </c>
      <c r="H144" s="32" t="str">
        <f>IF('02_Base_Solicitudes'!A142="","",'02_Base_Solicitudes'!I142)</f>
        <v/>
      </c>
      <c r="I144" s="30" t="str">
        <f>IF('02_Base_Solicitudes'!A142="","",'02_Base_Solicitudes'!J142)</f>
        <v/>
      </c>
      <c r="J144" s="23" t="str">
        <f>IF('02_Base_Solicitudes'!A142="","",'02_Base_Solicitudes'!M142)</f>
        <v/>
      </c>
      <c r="K144" s="33" t="str">
        <f>IF('02_Base_Solicitudes'!A142="","",'02_Base_Solicitudes'!K142)</f>
        <v/>
      </c>
      <c r="L144" s="19" t="str">
        <f t="shared" si="34"/>
        <v/>
      </c>
      <c r="M144" s="19"/>
      <c r="N144" s="34" t="str">
        <f t="shared" si="35"/>
        <v/>
      </c>
      <c r="O144" s="19"/>
      <c r="P144" s="34"/>
      <c r="Q144" s="19"/>
      <c r="R144" s="34"/>
      <c r="S144" s="19"/>
      <c r="T144" s="19"/>
      <c r="U144" s="19"/>
      <c r="V144" s="19"/>
      <c r="W144" s="34" t="str">
        <f t="shared" ref="W144:W163" si="41">IF($A144="","","Pendiente")</f>
        <v/>
      </c>
      <c r="X144" s="19"/>
      <c r="Y144" s="34"/>
      <c r="Z144" s="19"/>
      <c r="AA144" s="34"/>
      <c r="AB144" s="34"/>
      <c r="AC144" s="34" t="str">
        <f t="shared" si="36"/>
        <v/>
      </c>
      <c r="AD144" s="19"/>
      <c r="AE144" s="19"/>
      <c r="AF144" s="34" t="str">
        <f>OTMaestraTable[[#This Row],[Solicitante]]</f>
        <v/>
      </c>
      <c r="AG144" s="19"/>
      <c r="AH144" s="19" t="str">
        <f t="shared" si="37"/>
        <v/>
      </c>
      <c r="AI144" s="30" t="str">
        <f t="shared" si="38"/>
        <v/>
      </c>
      <c r="AJ144" s="30" t="str">
        <f t="shared" si="39"/>
        <v/>
      </c>
      <c r="AK144" s="30" t="str">
        <f t="shared" si="40"/>
        <v/>
      </c>
      <c r="AL144" s="19"/>
    </row>
    <row r="145" spans="1:38">
      <c r="A145" s="23" t="str">
        <f>IF('02_Base_Solicitudes'!A143="","",'02_Base_Solicitudes'!R143)</f>
        <v/>
      </c>
      <c r="B145" s="30" t="str">
        <f>IF('02_Base_Solicitudes'!A143="","",'02_Base_Solicitudes'!A143)</f>
        <v/>
      </c>
      <c r="C145" s="23" t="str">
        <f>IF('02_Base_Solicitudes'!A143="","",'02_Base_Solicitudes'!C143)</f>
        <v/>
      </c>
      <c r="D145" s="23" t="str">
        <f>IF('02_Base_Solicitudes'!A143="","",'02_Base_Solicitudes'!D143)</f>
        <v/>
      </c>
      <c r="E145" s="23" t="str">
        <f>IF('02_Base_Solicitudes'!A143="","",'02_Base_Solicitudes'!E143)</f>
        <v/>
      </c>
      <c r="F145" s="23" t="str">
        <f>IF('02_Base_Solicitudes'!A143="","",'02_Base_Solicitudes'!G143)</f>
        <v/>
      </c>
      <c r="G145" s="23" t="str">
        <f>IF('02_Base_Solicitudes'!A143="","",'02_Base_Solicitudes'!H143)</f>
        <v/>
      </c>
      <c r="H145" s="32" t="str">
        <f>IF('02_Base_Solicitudes'!A143="","",'02_Base_Solicitudes'!I143)</f>
        <v/>
      </c>
      <c r="I145" s="30" t="str">
        <f>IF('02_Base_Solicitudes'!A143="","",'02_Base_Solicitudes'!J143)</f>
        <v/>
      </c>
      <c r="J145" s="23" t="str">
        <f>IF('02_Base_Solicitudes'!A143="","",'02_Base_Solicitudes'!M143)</f>
        <v/>
      </c>
      <c r="K145" s="33" t="str">
        <f>IF('02_Base_Solicitudes'!A143="","",'02_Base_Solicitudes'!K143)</f>
        <v/>
      </c>
      <c r="L145" s="19" t="str">
        <f t="shared" si="34"/>
        <v/>
      </c>
      <c r="M145" s="19"/>
      <c r="N145" s="34" t="str">
        <f t="shared" si="35"/>
        <v/>
      </c>
      <c r="O145" s="19"/>
      <c r="P145" s="34"/>
      <c r="Q145" s="19"/>
      <c r="R145" s="34"/>
      <c r="S145" s="19"/>
      <c r="T145" s="19"/>
      <c r="U145" s="19"/>
      <c r="V145" s="19"/>
      <c r="W145" s="34" t="str">
        <f t="shared" si="41"/>
        <v/>
      </c>
      <c r="X145" s="19"/>
      <c r="Y145" s="34"/>
      <c r="Z145" s="19"/>
      <c r="AA145" s="34"/>
      <c r="AB145" s="34"/>
      <c r="AC145" s="34" t="str">
        <f t="shared" si="36"/>
        <v/>
      </c>
      <c r="AD145" s="19"/>
      <c r="AE145" s="19"/>
      <c r="AF145" s="34" t="str">
        <f>OTMaestraTable[[#This Row],[Solicitante]]</f>
        <v/>
      </c>
      <c r="AG145" s="19"/>
      <c r="AH145" s="19" t="str">
        <f t="shared" si="37"/>
        <v/>
      </c>
      <c r="AI145" s="30" t="str">
        <f t="shared" si="38"/>
        <v/>
      </c>
      <c r="AJ145" s="30" t="str">
        <f t="shared" si="39"/>
        <v/>
      </c>
      <c r="AK145" s="30" t="str">
        <f t="shared" si="40"/>
        <v/>
      </c>
      <c r="AL145" s="19"/>
    </row>
    <row r="146" spans="1:38">
      <c r="A146" s="23" t="str">
        <f>IF('02_Base_Solicitudes'!A144="","",'02_Base_Solicitudes'!R144)</f>
        <v/>
      </c>
      <c r="B146" s="30" t="str">
        <f>IF('02_Base_Solicitudes'!A144="","",'02_Base_Solicitudes'!A144)</f>
        <v/>
      </c>
      <c r="C146" s="23" t="str">
        <f>IF('02_Base_Solicitudes'!A144="","",'02_Base_Solicitudes'!C144)</f>
        <v/>
      </c>
      <c r="D146" s="23" t="str">
        <f>IF('02_Base_Solicitudes'!A144="","",'02_Base_Solicitudes'!D144)</f>
        <v/>
      </c>
      <c r="E146" s="23" t="str">
        <f>IF('02_Base_Solicitudes'!A144="","",'02_Base_Solicitudes'!E144)</f>
        <v/>
      </c>
      <c r="F146" s="23" t="str">
        <f>IF('02_Base_Solicitudes'!A144="","",'02_Base_Solicitudes'!G144)</f>
        <v/>
      </c>
      <c r="G146" s="23" t="str">
        <f>IF('02_Base_Solicitudes'!A144="","",'02_Base_Solicitudes'!H144)</f>
        <v/>
      </c>
      <c r="H146" s="32" t="str">
        <f>IF('02_Base_Solicitudes'!A144="","",'02_Base_Solicitudes'!I144)</f>
        <v/>
      </c>
      <c r="I146" s="30" t="str">
        <f>IF('02_Base_Solicitudes'!A144="","",'02_Base_Solicitudes'!J144)</f>
        <v/>
      </c>
      <c r="J146" s="23" t="str">
        <f>IF('02_Base_Solicitudes'!A144="","",'02_Base_Solicitudes'!M144)</f>
        <v/>
      </c>
      <c r="K146" s="33" t="str">
        <f>IF('02_Base_Solicitudes'!A144="","",'02_Base_Solicitudes'!K144)</f>
        <v/>
      </c>
      <c r="L146" s="19" t="str">
        <f t="shared" si="34"/>
        <v/>
      </c>
      <c r="M146" s="19"/>
      <c r="N146" s="34" t="str">
        <f t="shared" si="35"/>
        <v/>
      </c>
      <c r="O146" s="19"/>
      <c r="P146" s="34"/>
      <c r="Q146" s="19"/>
      <c r="R146" s="34"/>
      <c r="S146" s="19"/>
      <c r="T146" s="19"/>
      <c r="U146" s="19"/>
      <c r="V146" s="19"/>
      <c r="W146" s="34" t="str">
        <f t="shared" si="41"/>
        <v/>
      </c>
      <c r="X146" s="19"/>
      <c r="Y146" s="34"/>
      <c r="Z146" s="19"/>
      <c r="AA146" s="34"/>
      <c r="AB146" s="34"/>
      <c r="AC146" s="34" t="str">
        <f t="shared" si="36"/>
        <v/>
      </c>
      <c r="AD146" s="19"/>
      <c r="AE146" s="19"/>
      <c r="AF146" s="34" t="str">
        <f>OTMaestraTable[[#This Row],[Solicitante]]</f>
        <v/>
      </c>
      <c r="AG146" s="19"/>
      <c r="AH146" s="19" t="str">
        <f t="shared" si="37"/>
        <v/>
      </c>
      <c r="AI146" s="30" t="str">
        <f t="shared" si="38"/>
        <v/>
      </c>
      <c r="AJ146" s="30" t="str">
        <f t="shared" si="39"/>
        <v/>
      </c>
      <c r="AK146" s="30" t="str">
        <f t="shared" si="40"/>
        <v/>
      </c>
      <c r="AL146" s="19"/>
    </row>
    <row r="147" spans="1:38">
      <c r="A147" s="23" t="str">
        <f>IF('02_Base_Solicitudes'!A145="","",'02_Base_Solicitudes'!R145)</f>
        <v/>
      </c>
      <c r="B147" s="30" t="str">
        <f>IF('02_Base_Solicitudes'!A145="","",'02_Base_Solicitudes'!A145)</f>
        <v/>
      </c>
      <c r="C147" s="23" t="str">
        <f>IF('02_Base_Solicitudes'!A145="","",'02_Base_Solicitudes'!C145)</f>
        <v/>
      </c>
      <c r="D147" s="23" t="str">
        <f>IF('02_Base_Solicitudes'!A145="","",'02_Base_Solicitudes'!D145)</f>
        <v/>
      </c>
      <c r="E147" s="23" t="str">
        <f>IF('02_Base_Solicitudes'!A145="","",'02_Base_Solicitudes'!E145)</f>
        <v/>
      </c>
      <c r="F147" s="23" t="str">
        <f>IF('02_Base_Solicitudes'!A145="","",'02_Base_Solicitudes'!G145)</f>
        <v/>
      </c>
      <c r="G147" s="23" t="str">
        <f>IF('02_Base_Solicitudes'!A145="","",'02_Base_Solicitudes'!H145)</f>
        <v/>
      </c>
      <c r="H147" s="32" t="str">
        <f>IF('02_Base_Solicitudes'!A145="","",'02_Base_Solicitudes'!I145)</f>
        <v/>
      </c>
      <c r="I147" s="30" t="str">
        <f>IF('02_Base_Solicitudes'!A145="","",'02_Base_Solicitudes'!J145)</f>
        <v/>
      </c>
      <c r="J147" s="23" t="str">
        <f>IF('02_Base_Solicitudes'!A145="","",'02_Base_Solicitudes'!M145)</f>
        <v/>
      </c>
      <c r="K147" s="33" t="str">
        <f>IF('02_Base_Solicitudes'!A145="","",'02_Base_Solicitudes'!K145)</f>
        <v/>
      </c>
      <c r="L147" s="19" t="str">
        <f t="shared" si="34"/>
        <v/>
      </c>
      <c r="M147" s="19"/>
      <c r="N147" s="34" t="str">
        <f t="shared" si="35"/>
        <v/>
      </c>
      <c r="O147" s="19"/>
      <c r="P147" s="34"/>
      <c r="Q147" s="19"/>
      <c r="R147" s="34"/>
      <c r="S147" s="19"/>
      <c r="T147" s="19"/>
      <c r="U147" s="19"/>
      <c r="V147" s="19"/>
      <c r="W147" s="34" t="str">
        <f t="shared" si="41"/>
        <v/>
      </c>
      <c r="X147" s="19"/>
      <c r="Y147" s="34"/>
      <c r="Z147" s="19"/>
      <c r="AA147" s="34"/>
      <c r="AB147" s="34"/>
      <c r="AC147" s="34" t="str">
        <f t="shared" si="36"/>
        <v/>
      </c>
      <c r="AD147" s="19"/>
      <c r="AE147" s="19"/>
      <c r="AF147" s="34" t="str">
        <f>OTMaestraTable[[#This Row],[Solicitante]]</f>
        <v/>
      </c>
      <c r="AG147" s="19"/>
      <c r="AH147" s="19" t="str">
        <f t="shared" si="37"/>
        <v/>
      </c>
      <c r="AI147" s="30" t="str">
        <f t="shared" si="38"/>
        <v/>
      </c>
      <c r="AJ147" s="30" t="str">
        <f t="shared" si="39"/>
        <v/>
      </c>
      <c r="AK147" s="30" t="str">
        <f t="shared" si="40"/>
        <v/>
      </c>
      <c r="AL147" s="19"/>
    </row>
    <row r="148" spans="1:38">
      <c r="A148" s="23" t="str">
        <f>IF('02_Base_Solicitudes'!A146="","",'02_Base_Solicitudes'!R146)</f>
        <v/>
      </c>
      <c r="B148" s="30" t="str">
        <f>IF('02_Base_Solicitudes'!A146="","",'02_Base_Solicitudes'!A146)</f>
        <v/>
      </c>
      <c r="C148" s="23" t="str">
        <f>IF('02_Base_Solicitudes'!A146="","",'02_Base_Solicitudes'!C146)</f>
        <v/>
      </c>
      <c r="D148" s="23" t="str">
        <f>IF('02_Base_Solicitudes'!A146="","",'02_Base_Solicitudes'!D146)</f>
        <v/>
      </c>
      <c r="E148" s="23" t="str">
        <f>IF('02_Base_Solicitudes'!A146="","",'02_Base_Solicitudes'!E146)</f>
        <v/>
      </c>
      <c r="F148" s="23" t="str">
        <f>IF('02_Base_Solicitudes'!A146="","",'02_Base_Solicitudes'!G146)</f>
        <v/>
      </c>
      <c r="G148" s="23" t="str">
        <f>IF('02_Base_Solicitudes'!A146="","",'02_Base_Solicitudes'!H146)</f>
        <v/>
      </c>
      <c r="H148" s="32" t="str">
        <f>IF('02_Base_Solicitudes'!A146="","",'02_Base_Solicitudes'!I146)</f>
        <v/>
      </c>
      <c r="I148" s="30" t="str">
        <f>IF('02_Base_Solicitudes'!A146="","",'02_Base_Solicitudes'!J146)</f>
        <v/>
      </c>
      <c r="J148" s="23" t="str">
        <f>IF('02_Base_Solicitudes'!A146="","",'02_Base_Solicitudes'!M146)</f>
        <v/>
      </c>
      <c r="K148" s="33" t="str">
        <f>IF('02_Base_Solicitudes'!A146="","",'02_Base_Solicitudes'!K146)</f>
        <v/>
      </c>
      <c r="L148" s="19" t="str">
        <f t="shared" si="34"/>
        <v/>
      </c>
      <c r="M148" s="19"/>
      <c r="N148" s="34" t="str">
        <f t="shared" si="35"/>
        <v/>
      </c>
      <c r="O148" s="19"/>
      <c r="P148" s="34"/>
      <c r="Q148" s="19"/>
      <c r="R148" s="34"/>
      <c r="S148" s="19"/>
      <c r="T148" s="19"/>
      <c r="U148" s="19"/>
      <c r="V148" s="19"/>
      <c r="W148" s="34" t="str">
        <f t="shared" si="41"/>
        <v/>
      </c>
      <c r="X148" s="19"/>
      <c r="Y148" s="34"/>
      <c r="Z148" s="19"/>
      <c r="AA148" s="34"/>
      <c r="AB148" s="34"/>
      <c r="AC148" s="34" t="str">
        <f t="shared" si="36"/>
        <v/>
      </c>
      <c r="AD148" s="19"/>
      <c r="AE148" s="19"/>
      <c r="AF148" s="34" t="str">
        <f>OTMaestraTable[[#This Row],[Solicitante]]</f>
        <v/>
      </c>
      <c r="AG148" s="19"/>
      <c r="AH148" s="19" t="str">
        <f t="shared" si="37"/>
        <v/>
      </c>
      <c r="AI148" s="30" t="str">
        <f t="shared" si="38"/>
        <v/>
      </c>
      <c r="AJ148" s="30" t="str">
        <f t="shared" si="39"/>
        <v/>
      </c>
      <c r="AK148" s="30" t="str">
        <f t="shared" si="40"/>
        <v/>
      </c>
      <c r="AL148" s="19"/>
    </row>
    <row r="149" spans="1:38">
      <c r="A149" s="23" t="str">
        <f>IF('02_Base_Solicitudes'!A147="","",'02_Base_Solicitudes'!R147)</f>
        <v/>
      </c>
      <c r="B149" s="30" t="str">
        <f>IF('02_Base_Solicitudes'!A147="","",'02_Base_Solicitudes'!A147)</f>
        <v/>
      </c>
      <c r="C149" s="23" t="str">
        <f>IF('02_Base_Solicitudes'!A147="","",'02_Base_Solicitudes'!C147)</f>
        <v/>
      </c>
      <c r="D149" s="23" t="str">
        <f>IF('02_Base_Solicitudes'!A147="","",'02_Base_Solicitudes'!D147)</f>
        <v/>
      </c>
      <c r="E149" s="23" t="str">
        <f>IF('02_Base_Solicitudes'!A147="","",'02_Base_Solicitudes'!E147)</f>
        <v/>
      </c>
      <c r="F149" s="23" t="str">
        <f>IF('02_Base_Solicitudes'!A147="","",'02_Base_Solicitudes'!G147)</f>
        <v/>
      </c>
      <c r="G149" s="23" t="str">
        <f>IF('02_Base_Solicitudes'!A147="","",'02_Base_Solicitudes'!H147)</f>
        <v/>
      </c>
      <c r="H149" s="32" t="str">
        <f>IF('02_Base_Solicitudes'!A147="","",'02_Base_Solicitudes'!I147)</f>
        <v/>
      </c>
      <c r="I149" s="30" t="str">
        <f>IF('02_Base_Solicitudes'!A147="","",'02_Base_Solicitudes'!J147)</f>
        <v/>
      </c>
      <c r="J149" s="23" t="str">
        <f>IF('02_Base_Solicitudes'!A147="","",'02_Base_Solicitudes'!M147)</f>
        <v/>
      </c>
      <c r="K149" s="33" t="str">
        <f>IF('02_Base_Solicitudes'!A147="","",'02_Base_Solicitudes'!K147)</f>
        <v/>
      </c>
      <c r="L149" s="19" t="str">
        <f t="shared" si="34"/>
        <v/>
      </c>
      <c r="M149" s="19"/>
      <c r="N149" s="34" t="str">
        <f t="shared" si="35"/>
        <v/>
      </c>
      <c r="O149" s="19"/>
      <c r="P149" s="34"/>
      <c r="Q149" s="19"/>
      <c r="R149" s="34"/>
      <c r="S149" s="19"/>
      <c r="T149" s="19"/>
      <c r="U149" s="19"/>
      <c r="V149" s="19"/>
      <c r="W149" s="34" t="str">
        <f t="shared" si="41"/>
        <v/>
      </c>
      <c r="X149" s="19"/>
      <c r="Y149" s="34"/>
      <c r="Z149" s="19"/>
      <c r="AA149" s="34"/>
      <c r="AB149" s="34"/>
      <c r="AC149" s="34" t="str">
        <f t="shared" si="36"/>
        <v/>
      </c>
      <c r="AD149" s="19"/>
      <c r="AE149" s="19"/>
      <c r="AF149" s="34" t="str">
        <f>OTMaestraTable[[#This Row],[Solicitante]]</f>
        <v/>
      </c>
      <c r="AG149" s="19"/>
      <c r="AH149" s="19" t="str">
        <f t="shared" si="37"/>
        <v/>
      </c>
      <c r="AI149" s="30" t="str">
        <f t="shared" si="38"/>
        <v/>
      </c>
      <c r="AJ149" s="30" t="str">
        <f t="shared" si="39"/>
        <v/>
      </c>
      <c r="AK149" s="30" t="str">
        <f t="shared" si="40"/>
        <v/>
      </c>
      <c r="AL149" s="19"/>
    </row>
    <row r="150" spans="1:38">
      <c r="A150" s="23" t="str">
        <f>IF('02_Base_Solicitudes'!A148="","",'02_Base_Solicitudes'!R148)</f>
        <v/>
      </c>
      <c r="B150" s="30" t="str">
        <f>IF('02_Base_Solicitudes'!A148="","",'02_Base_Solicitudes'!A148)</f>
        <v/>
      </c>
      <c r="C150" s="23" t="str">
        <f>IF('02_Base_Solicitudes'!A148="","",'02_Base_Solicitudes'!C148)</f>
        <v/>
      </c>
      <c r="D150" s="23" t="str">
        <f>IF('02_Base_Solicitudes'!A148="","",'02_Base_Solicitudes'!D148)</f>
        <v/>
      </c>
      <c r="E150" s="23" t="str">
        <f>IF('02_Base_Solicitudes'!A148="","",'02_Base_Solicitudes'!E148)</f>
        <v/>
      </c>
      <c r="F150" s="23" t="str">
        <f>IF('02_Base_Solicitudes'!A148="","",'02_Base_Solicitudes'!G148)</f>
        <v/>
      </c>
      <c r="G150" s="23" t="str">
        <f>IF('02_Base_Solicitudes'!A148="","",'02_Base_Solicitudes'!H148)</f>
        <v/>
      </c>
      <c r="H150" s="32" t="str">
        <f>IF('02_Base_Solicitudes'!A148="","",'02_Base_Solicitudes'!I148)</f>
        <v/>
      </c>
      <c r="I150" s="30" t="str">
        <f>IF('02_Base_Solicitudes'!A148="","",'02_Base_Solicitudes'!J148)</f>
        <v/>
      </c>
      <c r="J150" s="23" t="str">
        <f>IF('02_Base_Solicitudes'!A148="","",'02_Base_Solicitudes'!M148)</f>
        <v/>
      </c>
      <c r="K150" s="33" t="str">
        <f>IF('02_Base_Solicitudes'!A148="","",'02_Base_Solicitudes'!K148)</f>
        <v/>
      </c>
      <c r="L150" s="19" t="str">
        <f t="shared" si="34"/>
        <v/>
      </c>
      <c r="M150" s="19"/>
      <c r="N150" s="34" t="str">
        <f t="shared" si="35"/>
        <v/>
      </c>
      <c r="O150" s="19"/>
      <c r="P150" s="34"/>
      <c r="Q150" s="19"/>
      <c r="R150" s="34"/>
      <c r="S150" s="19"/>
      <c r="T150" s="19"/>
      <c r="U150" s="19"/>
      <c r="V150" s="19"/>
      <c r="W150" s="34" t="str">
        <f t="shared" si="41"/>
        <v/>
      </c>
      <c r="X150" s="19"/>
      <c r="Y150" s="34"/>
      <c r="Z150" s="19"/>
      <c r="AA150" s="34"/>
      <c r="AB150" s="34"/>
      <c r="AC150" s="34" t="str">
        <f t="shared" si="36"/>
        <v/>
      </c>
      <c r="AD150" s="19"/>
      <c r="AE150" s="19"/>
      <c r="AF150" s="34" t="str">
        <f>OTMaestraTable[[#This Row],[Solicitante]]</f>
        <v/>
      </c>
      <c r="AG150" s="19"/>
      <c r="AH150" s="19" t="str">
        <f t="shared" si="37"/>
        <v/>
      </c>
      <c r="AI150" s="30" t="str">
        <f t="shared" si="38"/>
        <v/>
      </c>
      <c r="AJ150" s="30" t="str">
        <f t="shared" si="39"/>
        <v/>
      </c>
      <c r="AK150" s="30" t="str">
        <f t="shared" si="40"/>
        <v/>
      </c>
      <c r="AL150" s="19"/>
    </row>
    <row r="151" spans="1:38">
      <c r="A151" s="23" t="str">
        <f>IF('02_Base_Solicitudes'!A149="","",'02_Base_Solicitudes'!R149)</f>
        <v/>
      </c>
      <c r="B151" s="30" t="str">
        <f>IF('02_Base_Solicitudes'!A149="","",'02_Base_Solicitudes'!A149)</f>
        <v/>
      </c>
      <c r="C151" s="23" t="str">
        <f>IF('02_Base_Solicitudes'!A149="","",'02_Base_Solicitudes'!C149)</f>
        <v/>
      </c>
      <c r="D151" s="23" t="str">
        <f>IF('02_Base_Solicitudes'!A149="","",'02_Base_Solicitudes'!D149)</f>
        <v/>
      </c>
      <c r="E151" s="23" t="str">
        <f>IF('02_Base_Solicitudes'!A149="","",'02_Base_Solicitudes'!E149)</f>
        <v/>
      </c>
      <c r="F151" s="23" t="str">
        <f>IF('02_Base_Solicitudes'!A149="","",'02_Base_Solicitudes'!G149)</f>
        <v/>
      </c>
      <c r="G151" s="23" t="str">
        <f>IF('02_Base_Solicitudes'!A149="","",'02_Base_Solicitudes'!H149)</f>
        <v/>
      </c>
      <c r="H151" s="32" t="str">
        <f>IF('02_Base_Solicitudes'!A149="","",'02_Base_Solicitudes'!I149)</f>
        <v/>
      </c>
      <c r="I151" s="30" t="str">
        <f>IF('02_Base_Solicitudes'!A149="","",'02_Base_Solicitudes'!J149)</f>
        <v/>
      </c>
      <c r="J151" s="23" t="str">
        <f>IF('02_Base_Solicitudes'!A149="","",'02_Base_Solicitudes'!M149)</f>
        <v/>
      </c>
      <c r="K151" s="33" t="str">
        <f>IF('02_Base_Solicitudes'!A149="","",'02_Base_Solicitudes'!K149)</f>
        <v/>
      </c>
      <c r="L151" s="19" t="str">
        <f t="shared" si="34"/>
        <v/>
      </c>
      <c r="M151" s="19"/>
      <c r="N151" s="34" t="str">
        <f t="shared" si="35"/>
        <v/>
      </c>
      <c r="O151" s="19"/>
      <c r="P151" s="34"/>
      <c r="Q151" s="19"/>
      <c r="R151" s="34"/>
      <c r="S151" s="19"/>
      <c r="T151" s="19"/>
      <c r="U151" s="19"/>
      <c r="V151" s="19"/>
      <c r="W151" s="34" t="str">
        <f t="shared" si="41"/>
        <v/>
      </c>
      <c r="X151" s="19"/>
      <c r="Y151" s="34"/>
      <c r="Z151" s="19"/>
      <c r="AA151" s="34"/>
      <c r="AB151" s="34"/>
      <c r="AC151" s="34" t="str">
        <f t="shared" si="36"/>
        <v/>
      </c>
      <c r="AD151" s="19"/>
      <c r="AE151" s="19"/>
      <c r="AF151" s="34" t="str">
        <f>OTMaestraTable[[#This Row],[Solicitante]]</f>
        <v/>
      </c>
      <c r="AG151" s="19"/>
      <c r="AH151" s="19" t="str">
        <f t="shared" si="37"/>
        <v/>
      </c>
      <c r="AI151" s="30" t="str">
        <f t="shared" si="38"/>
        <v/>
      </c>
      <c r="AJ151" s="30" t="str">
        <f t="shared" si="39"/>
        <v/>
      </c>
      <c r="AK151" s="30" t="str">
        <f t="shared" si="40"/>
        <v/>
      </c>
      <c r="AL151" s="19"/>
    </row>
    <row r="152" spans="1:38">
      <c r="A152" s="23" t="str">
        <f>IF('02_Base_Solicitudes'!A150="","",'02_Base_Solicitudes'!R150)</f>
        <v/>
      </c>
      <c r="B152" s="30" t="str">
        <f>IF('02_Base_Solicitudes'!A150="","",'02_Base_Solicitudes'!A150)</f>
        <v/>
      </c>
      <c r="C152" s="23" t="str">
        <f>IF('02_Base_Solicitudes'!A150="","",'02_Base_Solicitudes'!C150)</f>
        <v/>
      </c>
      <c r="D152" s="23" t="str">
        <f>IF('02_Base_Solicitudes'!A150="","",'02_Base_Solicitudes'!D150)</f>
        <v/>
      </c>
      <c r="E152" s="23" t="str">
        <f>IF('02_Base_Solicitudes'!A150="","",'02_Base_Solicitudes'!E150)</f>
        <v/>
      </c>
      <c r="F152" s="23" t="str">
        <f>IF('02_Base_Solicitudes'!A150="","",'02_Base_Solicitudes'!G150)</f>
        <v/>
      </c>
      <c r="G152" s="23" t="str">
        <f>IF('02_Base_Solicitudes'!A150="","",'02_Base_Solicitudes'!H150)</f>
        <v/>
      </c>
      <c r="H152" s="32" t="str">
        <f>IF('02_Base_Solicitudes'!A150="","",'02_Base_Solicitudes'!I150)</f>
        <v/>
      </c>
      <c r="I152" s="30" t="str">
        <f>IF('02_Base_Solicitudes'!A150="","",'02_Base_Solicitudes'!J150)</f>
        <v/>
      </c>
      <c r="J152" s="23" t="str">
        <f>IF('02_Base_Solicitudes'!A150="","",'02_Base_Solicitudes'!M150)</f>
        <v/>
      </c>
      <c r="K152" s="33" t="str">
        <f>IF('02_Base_Solicitudes'!A150="","",'02_Base_Solicitudes'!K150)</f>
        <v/>
      </c>
      <c r="L152" s="19" t="str">
        <f t="shared" si="34"/>
        <v/>
      </c>
      <c r="M152" s="19"/>
      <c r="N152" s="34" t="str">
        <f t="shared" si="35"/>
        <v/>
      </c>
      <c r="O152" s="19"/>
      <c r="P152" s="34"/>
      <c r="Q152" s="19"/>
      <c r="R152" s="34"/>
      <c r="S152" s="19"/>
      <c r="T152" s="19"/>
      <c r="U152" s="19"/>
      <c r="V152" s="19"/>
      <c r="W152" s="34" t="str">
        <f t="shared" si="41"/>
        <v/>
      </c>
      <c r="X152" s="19"/>
      <c r="Y152" s="34"/>
      <c r="Z152" s="19"/>
      <c r="AA152" s="34"/>
      <c r="AB152" s="34"/>
      <c r="AC152" s="34" t="str">
        <f t="shared" si="36"/>
        <v/>
      </c>
      <c r="AD152" s="19"/>
      <c r="AE152" s="19"/>
      <c r="AF152" s="34" t="str">
        <f>OTMaestraTable[[#This Row],[Solicitante]]</f>
        <v/>
      </c>
      <c r="AG152" s="19"/>
      <c r="AH152" s="19" t="str">
        <f t="shared" si="37"/>
        <v/>
      </c>
      <c r="AI152" s="30" t="str">
        <f t="shared" si="38"/>
        <v/>
      </c>
      <c r="AJ152" s="30" t="str">
        <f t="shared" si="39"/>
        <v/>
      </c>
      <c r="AK152" s="30" t="str">
        <f t="shared" si="40"/>
        <v/>
      </c>
      <c r="AL152" s="19"/>
    </row>
    <row r="153" spans="1:38">
      <c r="A153" s="23" t="str">
        <f>IF('02_Base_Solicitudes'!A151="","",'02_Base_Solicitudes'!R151)</f>
        <v/>
      </c>
      <c r="B153" s="30" t="str">
        <f>IF('02_Base_Solicitudes'!A151="","",'02_Base_Solicitudes'!A151)</f>
        <v/>
      </c>
      <c r="C153" s="23" t="str">
        <f>IF('02_Base_Solicitudes'!A151="","",'02_Base_Solicitudes'!C151)</f>
        <v/>
      </c>
      <c r="D153" s="23" t="str">
        <f>IF('02_Base_Solicitudes'!A151="","",'02_Base_Solicitudes'!D151)</f>
        <v/>
      </c>
      <c r="E153" s="23" t="str">
        <f>IF('02_Base_Solicitudes'!A151="","",'02_Base_Solicitudes'!E151)</f>
        <v/>
      </c>
      <c r="F153" s="23" t="str">
        <f>IF('02_Base_Solicitudes'!A151="","",'02_Base_Solicitudes'!G151)</f>
        <v/>
      </c>
      <c r="G153" s="23" t="str">
        <f>IF('02_Base_Solicitudes'!A151="","",'02_Base_Solicitudes'!H151)</f>
        <v/>
      </c>
      <c r="H153" s="32" t="str">
        <f>IF('02_Base_Solicitudes'!A151="","",'02_Base_Solicitudes'!I151)</f>
        <v/>
      </c>
      <c r="I153" s="30" t="str">
        <f>IF('02_Base_Solicitudes'!A151="","",'02_Base_Solicitudes'!J151)</f>
        <v/>
      </c>
      <c r="J153" s="23" t="str">
        <f>IF('02_Base_Solicitudes'!A151="","",'02_Base_Solicitudes'!M151)</f>
        <v/>
      </c>
      <c r="K153" s="33" t="str">
        <f>IF('02_Base_Solicitudes'!A151="","",'02_Base_Solicitudes'!K151)</f>
        <v/>
      </c>
      <c r="L153" s="19" t="str">
        <f t="shared" si="34"/>
        <v/>
      </c>
      <c r="M153" s="19"/>
      <c r="N153" s="34" t="str">
        <f t="shared" si="35"/>
        <v/>
      </c>
      <c r="O153" s="19"/>
      <c r="P153" s="34"/>
      <c r="Q153" s="19"/>
      <c r="R153" s="34"/>
      <c r="S153" s="19"/>
      <c r="T153" s="19"/>
      <c r="U153" s="19"/>
      <c r="V153" s="19"/>
      <c r="W153" s="34" t="str">
        <f t="shared" si="41"/>
        <v/>
      </c>
      <c r="X153" s="19"/>
      <c r="Y153" s="34"/>
      <c r="Z153" s="19"/>
      <c r="AA153" s="34"/>
      <c r="AB153" s="34"/>
      <c r="AC153" s="34" t="str">
        <f t="shared" si="36"/>
        <v/>
      </c>
      <c r="AD153" s="19"/>
      <c r="AE153" s="19"/>
      <c r="AF153" s="34" t="str">
        <f>OTMaestraTable[[#This Row],[Solicitante]]</f>
        <v/>
      </c>
      <c r="AG153" s="19"/>
      <c r="AH153" s="19" t="str">
        <f t="shared" si="37"/>
        <v/>
      </c>
      <c r="AI153" s="30" t="str">
        <f t="shared" si="38"/>
        <v/>
      </c>
      <c r="AJ153" s="30" t="str">
        <f t="shared" si="39"/>
        <v/>
      </c>
      <c r="AK153" s="30" t="str">
        <f t="shared" si="40"/>
        <v/>
      </c>
      <c r="AL153" s="19"/>
    </row>
    <row r="154" spans="1:38">
      <c r="A154" s="23" t="str">
        <f>IF('02_Base_Solicitudes'!A152="","",'02_Base_Solicitudes'!R152)</f>
        <v/>
      </c>
      <c r="B154" s="30" t="str">
        <f>IF('02_Base_Solicitudes'!A152="","",'02_Base_Solicitudes'!A152)</f>
        <v/>
      </c>
      <c r="C154" s="23" t="str">
        <f>IF('02_Base_Solicitudes'!A152="","",'02_Base_Solicitudes'!C152)</f>
        <v/>
      </c>
      <c r="D154" s="23" t="str">
        <f>IF('02_Base_Solicitudes'!A152="","",'02_Base_Solicitudes'!D152)</f>
        <v/>
      </c>
      <c r="E154" s="23" t="str">
        <f>IF('02_Base_Solicitudes'!A152="","",'02_Base_Solicitudes'!E152)</f>
        <v/>
      </c>
      <c r="F154" s="23" t="str">
        <f>IF('02_Base_Solicitudes'!A152="","",'02_Base_Solicitudes'!G152)</f>
        <v/>
      </c>
      <c r="G154" s="23" t="str">
        <f>IF('02_Base_Solicitudes'!A152="","",'02_Base_Solicitudes'!H152)</f>
        <v/>
      </c>
      <c r="H154" s="32" t="str">
        <f>IF('02_Base_Solicitudes'!A152="","",'02_Base_Solicitudes'!I152)</f>
        <v/>
      </c>
      <c r="I154" s="30" t="str">
        <f>IF('02_Base_Solicitudes'!A152="","",'02_Base_Solicitudes'!J152)</f>
        <v/>
      </c>
      <c r="J154" s="23" t="str">
        <f>IF('02_Base_Solicitudes'!A152="","",'02_Base_Solicitudes'!M152)</f>
        <v/>
      </c>
      <c r="K154" s="33" t="str">
        <f>IF('02_Base_Solicitudes'!A152="","",'02_Base_Solicitudes'!K152)</f>
        <v/>
      </c>
      <c r="L154" s="19" t="str">
        <f t="shared" si="34"/>
        <v/>
      </c>
      <c r="M154" s="19"/>
      <c r="N154" s="34" t="str">
        <f t="shared" si="35"/>
        <v/>
      </c>
      <c r="O154" s="19"/>
      <c r="P154" s="34"/>
      <c r="Q154" s="19"/>
      <c r="R154" s="34"/>
      <c r="S154" s="19"/>
      <c r="T154" s="19"/>
      <c r="U154" s="19"/>
      <c r="V154" s="19"/>
      <c r="W154" s="34" t="str">
        <f t="shared" si="41"/>
        <v/>
      </c>
      <c r="X154" s="19"/>
      <c r="Y154" s="34"/>
      <c r="Z154" s="19"/>
      <c r="AA154" s="34"/>
      <c r="AB154" s="34"/>
      <c r="AC154" s="34" t="str">
        <f t="shared" si="36"/>
        <v/>
      </c>
      <c r="AD154" s="19"/>
      <c r="AE154" s="19"/>
      <c r="AF154" s="34" t="str">
        <f>OTMaestraTable[[#This Row],[Solicitante]]</f>
        <v/>
      </c>
      <c r="AG154" s="19"/>
      <c r="AH154" s="19" t="str">
        <f t="shared" si="37"/>
        <v/>
      </c>
      <c r="AI154" s="30" t="str">
        <f t="shared" si="38"/>
        <v/>
      </c>
      <c r="AJ154" s="30" t="str">
        <f t="shared" si="39"/>
        <v/>
      </c>
      <c r="AK154" s="30" t="str">
        <f t="shared" si="40"/>
        <v/>
      </c>
      <c r="AL154" s="19"/>
    </row>
    <row r="155" spans="1:38">
      <c r="A155" s="23" t="str">
        <f>IF('02_Base_Solicitudes'!A153="","",'02_Base_Solicitudes'!R153)</f>
        <v/>
      </c>
      <c r="B155" s="30" t="str">
        <f>IF('02_Base_Solicitudes'!A153="","",'02_Base_Solicitudes'!A153)</f>
        <v/>
      </c>
      <c r="C155" s="23" t="str">
        <f>IF('02_Base_Solicitudes'!A153="","",'02_Base_Solicitudes'!C153)</f>
        <v/>
      </c>
      <c r="D155" s="23" t="str">
        <f>IF('02_Base_Solicitudes'!A153="","",'02_Base_Solicitudes'!D153)</f>
        <v/>
      </c>
      <c r="E155" s="23" t="str">
        <f>IF('02_Base_Solicitudes'!A153="","",'02_Base_Solicitudes'!E153)</f>
        <v/>
      </c>
      <c r="F155" s="23" t="str">
        <f>IF('02_Base_Solicitudes'!A153="","",'02_Base_Solicitudes'!G153)</f>
        <v/>
      </c>
      <c r="G155" s="23" t="str">
        <f>IF('02_Base_Solicitudes'!A153="","",'02_Base_Solicitudes'!H153)</f>
        <v/>
      </c>
      <c r="H155" s="32" t="str">
        <f>IF('02_Base_Solicitudes'!A153="","",'02_Base_Solicitudes'!I153)</f>
        <v/>
      </c>
      <c r="I155" s="30" t="str">
        <f>IF('02_Base_Solicitudes'!A153="","",'02_Base_Solicitudes'!J153)</f>
        <v/>
      </c>
      <c r="J155" s="23" t="str">
        <f>IF('02_Base_Solicitudes'!A153="","",'02_Base_Solicitudes'!M153)</f>
        <v/>
      </c>
      <c r="K155" s="33" t="str">
        <f>IF('02_Base_Solicitudes'!A153="","",'02_Base_Solicitudes'!K153)</f>
        <v/>
      </c>
      <c r="L155" s="19" t="str">
        <f t="shared" si="34"/>
        <v/>
      </c>
      <c r="M155" s="19"/>
      <c r="N155" s="34" t="str">
        <f t="shared" si="35"/>
        <v/>
      </c>
      <c r="O155" s="19"/>
      <c r="P155" s="34"/>
      <c r="Q155" s="19"/>
      <c r="R155" s="34"/>
      <c r="S155" s="19"/>
      <c r="T155" s="19"/>
      <c r="U155" s="19"/>
      <c r="V155" s="19"/>
      <c r="W155" s="34" t="str">
        <f t="shared" si="41"/>
        <v/>
      </c>
      <c r="X155" s="19"/>
      <c r="Y155" s="34"/>
      <c r="Z155" s="19"/>
      <c r="AA155" s="34"/>
      <c r="AB155" s="34"/>
      <c r="AC155" s="34" t="str">
        <f t="shared" si="36"/>
        <v/>
      </c>
      <c r="AD155" s="19"/>
      <c r="AE155" s="19"/>
      <c r="AF155" s="34" t="str">
        <f>OTMaestraTable[[#This Row],[Solicitante]]</f>
        <v/>
      </c>
      <c r="AG155" s="19"/>
      <c r="AH155" s="19" t="str">
        <f t="shared" si="37"/>
        <v/>
      </c>
      <c r="AI155" s="30" t="str">
        <f t="shared" si="38"/>
        <v/>
      </c>
      <c r="AJ155" s="30" t="str">
        <f t="shared" si="39"/>
        <v/>
      </c>
      <c r="AK155" s="30" t="str">
        <f t="shared" si="40"/>
        <v/>
      </c>
      <c r="AL155" s="19"/>
    </row>
    <row r="156" spans="1:38">
      <c r="A156" s="23" t="str">
        <f>IF('02_Base_Solicitudes'!A154="","",'02_Base_Solicitudes'!R154)</f>
        <v/>
      </c>
      <c r="B156" s="30" t="str">
        <f>IF('02_Base_Solicitudes'!A154="","",'02_Base_Solicitudes'!A154)</f>
        <v/>
      </c>
      <c r="C156" s="23" t="str">
        <f>IF('02_Base_Solicitudes'!A154="","",'02_Base_Solicitudes'!C154)</f>
        <v/>
      </c>
      <c r="D156" s="23" t="str">
        <f>IF('02_Base_Solicitudes'!A154="","",'02_Base_Solicitudes'!D154)</f>
        <v/>
      </c>
      <c r="E156" s="23" t="str">
        <f>IF('02_Base_Solicitudes'!A154="","",'02_Base_Solicitudes'!E154)</f>
        <v/>
      </c>
      <c r="F156" s="23" t="str">
        <f>IF('02_Base_Solicitudes'!A154="","",'02_Base_Solicitudes'!G154)</f>
        <v/>
      </c>
      <c r="G156" s="23" t="str">
        <f>IF('02_Base_Solicitudes'!A154="","",'02_Base_Solicitudes'!H154)</f>
        <v/>
      </c>
      <c r="H156" s="32" t="str">
        <f>IF('02_Base_Solicitudes'!A154="","",'02_Base_Solicitudes'!I154)</f>
        <v/>
      </c>
      <c r="I156" s="30" t="str">
        <f>IF('02_Base_Solicitudes'!A154="","",'02_Base_Solicitudes'!J154)</f>
        <v/>
      </c>
      <c r="J156" s="23" t="str">
        <f>IF('02_Base_Solicitudes'!A154="","",'02_Base_Solicitudes'!M154)</f>
        <v/>
      </c>
      <c r="K156" s="33" t="str">
        <f>IF('02_Base_Solicitudes'!A154="","",'02_Base_Solicitudes'!K154)</f>
        <v/>
      </c>
      <c r="L156" s="19" t="str">
        <f t="shared" si="34"/>
        <v/>
      </c>
      <c r="M156" s="19"/>
      <c r="N156" s="34" t="str">
        <f t="shared" si="35"/>
        <v/>
      </c>
      <c r="O156" s="19"/>
      <c r="P156" s="34"/>
      <c r="Q156" s="19"/>
      <c r="R156" s="34"/>
      <c r="S156" s="19"/>
      <c r="T156" s="19"/>
      <c r="U156" s="19"/>
      <c r="V156" s="19"/>
      <c r="W156" s="34" t="str">
        <f t="shared" si="41"/>
        <v/>
      </c>
      <c r="X156" s="19"/>
      <c r="Y156" s="34"/>
      <c r="Z156" s="19"/>
      <c r="AA156" s="34"/>
      <c r="AB156" s="34"/>
      <c r="AC156" s="34" t="str">
        <f t="shared" si="36"/>
        <v/>
      </c>
      <c r="AD156" s="19"/>
      <c r="AE156" s="19"/>
      <c r="AF156" s="34" t="str">
        <f>OTMaestraTable[[#This Row],[Solicitante]]</f>
        <v/>
      </c>
      <c r="AG156" s="19"/>
      <c r="AH156" s="19" t="str">
        <f t="shared" si="37"/>
        <v/>
      </c>
      <c r="AI156" s="30" t="str">
        <f t="shared" si="38"/>
        <v/>
      </c>
      <c r="AJ156" s="30" t="str">
        <f t="shared" si="39"/>
        <v/>
      </c>
      <c r="AK156" s="30" t="str">
        <f t="shared" si="40"/>
        <v/>
      </c>
      <c r="AL156" s="19"/>
    </row>
    <row r="157" spans="1:38">
      <c r="A157" s="23" t="str">
        <f>IF('02_Base_Solicitudes'!A155="","",'02_Base_Solicitudes'!R155)</f>
        <v/>
      </c>
      <c r="B157" s="30" t="str">
        <f>IF('02_Base_Solicitudes'!A155="","",'02_Base_Solicitudes'!A155)</f>
        <v/>
      </c>
      <c r="C157" s="23" t="str">
        <f>IF('02_Base_Solicitudes'!A155="","",'02_Base_Solicitudes'!C155)</f>
        <v/>
      </c>
      <c r="D157" s="23" t="str">
        <f>IF('02_Base_Solicitudes'!A155="","",'02_Base_Solicitudes'!D155)</f>
        <v/>
      </c>
      <c r="E157" s="23" t="str">
        <f>IF('02_Base_Solicitudes'!A155="","",'02_Base_Solicitudes'!E155)</f>
        <v/>
      </c>
      <c r="F157" s="23" t="str">
        <f>IF('02_Base_Solicitudes'!A155="","",'02_Base_Solicitudes'!G155)</f>
        <v/>
      </c>
      <c r="G157" s="23" t="str">
        <f>IF('02_Base_Solicitudes'!A155="","",'02_Base_Solicitudes'!H155)</f>
        <v/>
      </c>
      <c r="H157" s="32" t="str">
        <f>IF('02_Base_Solicitudes'!A155="","",'02_Base_Solicitudes'!I155)</f>
        <v/>
      </c>
      <c r="I157" s="30" t="str">
        <f>IF('02_Base_Solicitudes'!A155="","",'02_Base_Solicitudes'!J155)</f>
        <v/>
      </c>
      <c r="J157" s="23" t="str">
        <f>IF('02_Base_Solicitudes'!A155="","",'02_Base_Solicitudes'!M155)</f>
        <v/>
      </c>
      <c r="K157" s="33" t="str">
        <f>IF('02_Base_Solicitudes'!A155="","",'02_Base_Solicitudes'!K155)</f>
        <v/>
      </c>
      <c r="L157" s="19" t="str">
        <f t="shared" si="34"/>
        <v/>
      </c>
      <c r="M157" s="19"/>
      <c r="N157" s="34" t="str">
        <f t="shared" si="35"/>
        <v/>
      </c>
      <c r="O157" s="19"/>
      <c r="P157" s="34"/>
      <c r="Q157" s="19"/>
      <c r="R157" s="34"/>
      <c r="S157" s="19"/>
      <c r="T157" s="19"/>
      <c r="U157" s="19"/>
      <c r="V157" s="19"/>
      <c r="W157" s="34" t="str">
        <f t="shared" si="41"/>
        <v/>
      </c>
      <c r="X157" s="19"/>
      <c r="Y157" s="34"/>
      <c r="Z157" s="19"/>
      <c r="AA157" s="34"/>
      <c r="AB157" s="34"/>
      <c r="AC157" s="34" t="str">
        <f t="shared" si="36"/>
        <v/>
      </c>
      <c r="AD157" s="19"/>
      <c r="AE157" s="19"/>
      <c r="AF157" s="34" t="str">
        <f>OTMaestraTable[[#This Row],[Solicitante]]</f>
        <v/>
      </c>
      <c r="AG157" s="19"/>
      <c r="AH157" s="19" t="str">
        <f t="shared" si="37"/>
        <v/>
      </c>
      <c r="AI157" s="30" t="str">
        <f t="shared" si="38"/>
        <v/>
      </c>
      <c r="AJ157" s="30" t="str">
        <f t="shared" si="39"/>
        <v/>
      </c>
      <c r="AK157" s="30" t="str">
        <f t="shared" si="40"/>
        <v/>
      </c>
      <c r="AL157" s="19"/>
    </row>
    <row r="158" spans="1:38">
      <c r="A158" s="23" t="str">
        <f>IF('02_Base_Solicitudes'!A156="","",'02_Base_Solicitudes'!R156)</f>
        <v/>
      </c>
      <c r="B158" s="30" t="str">
        <f>IF('02_Base_Solicitudes'!A156="","",'02_Base_Solicitudes'!A156)</f>
        <v/>
      </c>
      <c r="C158" s="23" t="str">
        <f>IF('02_Base_Solicitudes'!A156="","",'02_Base_Solicitudes'!C156)</f>
        <v/>
      </c>
      <c r="D158" s="23" t="str">
        <f>IF('02_Base_Solicitudes'!A156="","",'02_Base_Solicitudes'!D156)</f>
        <v/>
      </c>
      <c r="E158" s="23" t="str">
        <f>IF('02_Base_Solicitudes'!A156="","",'02_Base_Solicitudes'!E156)</f>
        <v/>
      </c>
      <c r="F158" s="23" t="str">
        <f>IF('02_Base_Solicitudes'!A156="","",'02_Base_Solicitudes'!G156)</f>
        <v/>
      </c>
      <c r="G158" s="23" t="str">
        <f>IF('02_Base_Solicitudes'!A156="","",'02_Base_Solicitudes'!H156)</f>
        <v/>
      </c>
      <c r="H158" s="32" t="str">
        <f>IF('02_Base_Solicitudes'!A156="","",'02_Base_Solicitudes'!I156)</f>
        <v/>
      </c>
      <c r="I158" s="30" t="str">
        <f>IF('02_Base_Solicitudes'!A156="","",'02_Base_Solicitudes'!J156)</f>
        <v/>
      </c>
      <c r="J158" s="23" t="str">
        <f>IF('02_Base_Solicitudes'!A156="","",'02_Base_Solicitudes'!M156)</f>
        <v/>
      </c>
      <c r="K158" s="33" t="str">
        <f>IF('02_Base_Solicitudes'!A156="","",'02_Base_Solicitudes'!K156)</f>
        <v/>
      </c>
      <c r="L158" s="19" t="str">
        <f t="shared" si="34"/>
        <v/>
      </c>
      <c r="M158" s="19"/>
      <c r="N158" s="34" t="str">
        <f t="shared" si="35"/>
        <v/>
      </c>
      <c r="O158" s="19"/>
      <c r="P158" s="34"/>
      <c r="Q158" s="19"/>
      <c r="R158" s="34"/>
      <c r="S158" s="19"/>
      <c r="T158" s="19"/>
      <c r="U158" s="19"/>
      <c r="V158" s="19"/>
      <c r="W158" s="34" t="str">
        <f t="shared" si="41"/>
        <v/>
      </c>
      <c r="X158" s="19"/>
      <c r="Y158" s="34"/>
      <c r="Z158" s="19"/>
      <c r="AA158" s="34"/>
      <c r="AB158" s="34"/>
      <c r="AC158" s="34" t="str">
        <f t="shared" si="36"/>
        <v/>
      </c>
      <c r="AD158" s="19"/>
      <c r="AE158" s="19"/>
      <c r="AF158" s="34" t="str">
        <f>OTMaestraTable[[#This Row],[Solicitante]]</f>
        <v/>
      </c>
      <c r="AG158" s="19"/>
      <c r="AH158" s="19" t="str">
        <f t="shared" si="37"/>
        <v/>
      </c>
      <c r="AI158" s="30" t="str">
        <f t="shared" si="38"/>
        <v/>
      </c>
      <c r="AJ158" s="30" t="str">
        <f t="shared" si="39"/>
        <v/>
      </c>
      <c r="AK158" s="30" t="str">
        <f t="shared" si="40"/>
        <v/>
      </c>
      <c r="AL158" s="19"/>
    </row>
    <row r="159" spans="1:38">
      <c r="A159" s="23" t="str">
        <f>IF('02_Base_Solicitudes'!A157="","",'02_Base_Solicitudes'!R157)</f>
        <v/>
      </c>
      <c r="B159" s="30" t="str">
        <f>IF('02_Base_Solicitudes'!A157="","",'02_Base_Solicitudes'!A157)</f>
        <v/>
      </c>
      <c r="C159" s="23" t="str">
        <f>IF('02_Base_Solicitudes'!A157="","",'02_Base_Solicitudes'!C157)</f>
        <v/>
      </c>
      <c r="D159" s="23" t="str">
        <f>IF('02_Base_Solicitudes'!A157="","",'02_Base_Solicitudes'!D157)</f>
        <v/>
      </c>
      <c r="E159" s="23" t="str">
        <f>IF('02_Base_Solicitudes'!A157="","",'02_Base_Solicitudes'!E157)</f>
        <v/>
      </c>
      <c r="F159" s="23" t="str">
        <f>IF('02_Base_Solicitudes'!A157="","",'02_Base_Solicitudes'!G157)</f>
        <v/>
      </c>
      <c r="G159" s="23" t="str">
        <f>IF('02_Base_Solicitudes'!A157="","",'02_Base_Solicitudes'!H157)</f>
        <v/>
      </c>
      <c r="H159" s="32" t="str">
        <f>IF('02_Base_Solicitudes'!A157="","",'02_Base_Solicitudes'!I157)</f>
        <v/>
      </c>
      <c r="I159" s="30" t="str">
        <f>IF('02_Base_Solicitudes'!A157="","",'02_Base_Solicitudes'!J157)</f>
        <v/>
      </c>
      <c r="J159" s="23" t="str">
        <f>IF('02_Base_Solicitudes'!A157="","",'02_Base_Solicitudes'!M157)</f>
        <v/>
      </c>
      <c r="K159" s="33" t="str">
        <f>IF('02_Base_Solicitudes'!A157="","",'02_Base_Solicitudes'!K157)</f>
        <v/>
      </c>
      <c r="L159" s="19" t="str">
        <f t="shared" si="34"/>
        <v/>
      </c>
      <c r="M159" s="19"/>
      <c r="N159" s="34" t="str">
        <f t="shared" si="35"/>
        <v/>
      </c>
      <c r="O159" s="19"/>
      <c r="P159" s="34"/>
      <c r="Q159" s="19"/>
      <c r="R159" s="34"/>
      <c r="S159" s="19"/>
      <c r="T159" s="19"/>
      <c r="U159" s="19"/>
      <c r="V159" s="19"/>
      <c r="W159" s="34" t="str">
        <f t="shared" si="41"/>
        <v/>
      </c>
      <c r="X159" s="19"/>
      <c r="Y159" s="34"/>
      <c r="Z159" s="19"/>
      <c r="AA159" s="34"/>
      <c r="AB159" s="34"/>
      <c r="AC159" s="34" t="str">
        <f t="shared" si="36"/>
        <v/>
      </c>
      <c r="AD159" s="19"/>
      <c r="AE159" s="19"/>
      <c r="AF159" s="34" t="str">
        <f>OTMaestraTable[[#This Row],[Solicitante]]</f>
        <v/>
      </c>
      <c r="AG159" s="19"/>
      <c r="AH159" s="19" t="str">
        <f t="shared" si="37"/>
        <v/>
      </c>
      <c r="AI159" s="30" t="str">
        <f t="shared" si="38"/>
        <v/>
      </c>
      <c r="AJ159" s="30" t="str">
        <f t="shared" si="39"/>
        <v/>
      </c>
      <c r="AK159" s="30" t="str">
        <f t="shared" si="40"/>
        <v/>
      </c>
      <c r="AL159" s="19"/>
    </row>
    <row r="160" spans="1:38">
      <c r="A160" s="23" t="str">
        <f>IF('02_Base_Solicitudes'!A158="","",'02_Base_Solicitudes'!R158)</f>
        <v/>
      </c>
      <c r="B160" s="30" t="str">
        <f>IF('02_Base_Solicitudes'!A158="","",'02_Base_Solicitudes'!A158)</f>
        <v/>
      </c>
      <c r="C160" s="23" t="str">
        <f>IF('02_Base_Solicitudes'!A158="","",'02_Base_Solicitudes'!C158)</f>
        <v/>
      </c>
      <c r="D160" s="23" t="str">
        <f>IF('02_Base_Solicitudes'!A158="","",'02_Base_Solicitudes'!D158)</f>
        <v/>
      </c>
      <c r="E160" s="23" t="str">
        <f>IF('02_Base_Solicitudes'!A158="","",'02_Base_Solicitudes'!E158)</f>
        <v/>
      </c>
      <c r="F160" s="23" t="str">
        <f>IF('02_Base_Solicitudes'!A158="","",'02_Base_Solicitudes'!G158)</f>
        <v/>
      </c>
      <c r="G160" s="23" t="str">
        <f>IF('02_Base_Solicitudes'!A158="","",'02_Base_Solicitudes'!H158)</f>
        <v/>
      </c>
      <c r="H160" s="32" t="str">
        <f>IF('02_Base_Solicitudes'!A158="","",'02_Base_Solicitudes'!I158)</f>
        <v/>
      </c>
      <c r="I160" s="30" t="str">
        <f>IF('02_Base_Solicitudes'!A158="","",'02_Base_Solicitudes'!J158)</f>
        <v/>
      </c>
      <c r="J160" s="23" t="str">
        <f>IF('02_Base_Solicitudes'!A158="","",'02_Base_Solicitudes'!M158)</f>
        <v/>
      </c>
      <c r="K160" s="33" t="str">
        <f>IF('02_Base_Solicitudes'!A158="","",'02_Base_Solicitudes'!K158)</f>
        <v/>
      </c>
      <c r="L160" s="19" t="str">
        <f t="shared" si="34"/>
        <v/>
      </c>
      <c r="M160" s="19"/>
      <c r="N160" s="34" t="str">
        <f t="shared" si="35"/>
        <v/>
      </c>
      <c r="O160" s="19"/>
      <c r="P160" s="34"/>
      <c r="Q160" s="19"/>
      <c r="R160" s="34"/>
      <c r="S160" s="19"/>
      <c r="T160" s="19"/>
      <c r="U160" s="19"/>
      <c r="V160" s="19"/>
      <c r="W160" s="34" t="str">
        <f t="shared" si="41"/>
        <v/>
      </c>
      <c r="X160" s="19"/>
      <c r="Y160" s="34"/>
      <c r="Z160" s="19"/>
      <c r="AA160" s="34"/>
      <c r="AB160" s="34"/>
      <c r="AC160" s="34" t="str">
        <f t="shared" si="36"/>
        <v/>
      </c>
      <c r="AD160" s="19"/>
      <c r="AE160" s="19"/>
      <c r="AF160" s="34" t="str">
        <f>OTMaestraTable[[#This Row],[Solicitante]]</f>
        <v/>
      </c>
      <c r="AG160" s="19"/>
      <c r="AH160" s="19" t="str">
        <f t="shared" si="37"/>
        <v/>
      </c>
      <c r="AI160" s="30" t="str">
        <f t="shared" si="38"/>
        <v/>
      </c>
      <c r="AJ160" s="30" t="str">
        <f t="shared" si="39"/>
        <v/>
      </c>
      <c r="AK160" s="30" t="str">
        <f t="shared" si="40"/>
        <v/>
      </c>
      <c r="AL160" s="19"/>
    </row>
    <row r="161" spans="1:38">
      <c r="A161" s="23" t="str">
        <f>IF('02_Base_Solicitudes'!A159="","",'02_Base_Solicitudes'!R159)</f>
        <v/>
      </c>
      <c r="B161" s="30" t="str">
        <f>IF('02_Base_Solicitudes'!A159="","",'02_Base_Solicitudes'!A159)</f>
        <v/>
      </c>
      <c r="C161" s="23" t="str">
        <f>IF('02_Base_Solicitudes'!A159="","",'02_Base_Solicitudes'!C159)</f>
        <v/>
      </c>
      <c r="D161" s="23" t="str">
        <f>IF('02_Base_Solicitudes'!A159="","",'02_Base_Solicitudes'!D159)</f>
        <v/>
      </c>
      <c r="E161" s="23" t="str">
        <f>IF('02_Base_Solicitudes'!A159="","",'02_Base_Solicitudes'!E159)</f>
        <v/>
      </c>
      <c r="F161" s="23" t="str">
        <f>IF('02_Base_Solicitudes'!A159="","",'02_Base_Solicitudes'!G159)</f>
        <v/>
      </c>
      <c r="G161" s="23" t="str">
        <f>IF('02_Base_Solicitudes'!A159="","",'02_Base_Solicitudes'!H159)</f>
        <v/>
      </c>
      <c r="H161" s="32" t="str">
        <f>IF('02_Base_Solicitudes'!A159="","",'02_Base_Solicitudes'!I159)</f>
        <v/>
      </c>
      <c r="I161" s="30" t="str">
        <f>IF('02_Base_Solicitudes'!A159="","",'02_Base_Solicitudes'!J159)</f>
        <v/>
      </c>
      <c r="J161" s="23" t="str">
        <f>IF('02_Base_Solicitudes'!A159="","",'02_Base_Solicitudes'!M159)</f>
        <v/>
      </c>
      <c r="K161" s="33" t="str">
        <f>IF('02_Base_Solicitudes'!A159="","",'02_Base_Solicitudes'!K159)</f>
        <v/>
      </c>
      <c r="L161" s="19" t="str">
        <f t="shared" si="34"/>
        <v/>
      </c>
      <c r="M161" s="19"/>
      <c r="N161" s="34" t="str">
        <f t="shared" si="35"/>
        <v/>
      </c>
      <c r="O161" s="19"/>
      <c r="P161" s="34"/>
      <c r="Q161" s="19"/>
      <c r="R161" s="34"/>
      <c r="S161" s="19"/>
      <c r="T161" s="19"/>
      <c r="U161" s="19"/>
      <c r="V161" s="19"/>
      <c r="W161" s="34" t="str">
        <f t="shared" si="41"/>
        <v/>
      </c>
      <c r="X161" s="19"/>
      <c r="Y161" s="34"/>
      <c r="Z161" s="19"/>
      <c r="AA161" s="34"/>
      <c r="AB161" s="34"/>
      <c r="AC161" s="34" t="str">
        <f t="shared" si="36"/>
        <v/>
      </c>
      <c r="AD161" s="19"/>
      <c r="AE161" s="19"/>
      <c r="AF161" s="34" t="str">
        <f>OTMaestraTable[[#This Row],[Solicitante]]</f>
        <v/>
      </c>
      <c r="AG161" s="19"/>
      <c r="AH161" s="19" t="str">
        <f t="shared" si="37"/>
        <v/>
      </c>
      <c r="AI161" s="30" t="str">
        <f t="shared" si="38"/>
        <v/>
      </c>
      <c r="AJ161" s="30" t="str">
        <f t="shared" si="39"/>
        <v/>
      </c>
      <c r="AK161" s="30" t="str">
        <f t="shared" si="40"/>
        <v/>
      </c>
      <c r="AL161" s="19"/>
    </row>
    <row r="162" spans="1:38">
      <c r="A162" s="23" t="str">
        <f>IF('02_Base_Solicitudes'!A160="","",'02_Base_Solicitudes'!R160)</f>
        <v/>
      </c>
      <c r="B162" s="30" t="str">
        <f>IF('02_Base_Solicitudes'!A160="","",'02_Base_Solicitudes'!A160)</f>
        <v/>
      </c>
      <c r="C162" s="23" t="str">
        <f>IF('02_Base_Solicitudes'!A160="","",'02_Base_Solicitudes'!C160)</f>
        <v/>
      </c>
      <c r="D162" s="23" t="str">
        <f>IF('02_Base_Solicitudes'!A160="","",'02_Base_Solicitudes'!D160)</f>
        <v/>
      </c>
      <c r="E162" s="23" t="str">
        <f>IF('02_Base_Solicitudes'!A160="","",'02_Base_Solicitudes'!E160)</f>
        <v/>
      </c>
      <c r="F162" s="23" t="str">
        <f>IF('02_Base_Solicitudes'!A160="","",'02_Base_Solicitudes'!G160)</f>
        <v/>
      </c>
      <c r="G162" s="23" t="str">
        <f>IF('02_Base_Solicitudes'!A160="","",'02_Base_Solicitudes'!H160)</f>
        <v/>
      </c>
      <c r="H162" s="32" t="str">
        <f>IF('02_Base_Solicitudes'!A160="","",'02_Base_Solicitudes'!I160)</f>
        <v/>
      </c>
      <c r="I162" s="30" t="str">
        <f>IF('02_Base_Solicitudes'!A160="","",'02_Base_Solicitudes'!J160)</f>
        <v/>
      </c>
      <c r="J162" s="23" t="str">
        <f>IF('02_Base_Solicitudes'!A160="","",'02_Base_Solicitudes'!M160)</f>
        <v/>
      </c>
      <c r="K162" s="33" t="str">
        <f>IF('02_Base_Solicitudes'!A160="","",'02_Base_Solicitudes'!K160)</f>
        <v/>
      </c>
      <c r="L162" s="19" t="str">
        <f t="shared" si="34"/>
        <v/>
      </c>
      <c r="M162" s="19"/>
      <c r="N162" s="34" t="str">
        <f t="shared" si="35"/>
        <v/>
      </c>
      <c r="O162" s="19"/>
      <c r="P162" s="34"/>
      <c r="Q162" s="19"/>
      <c r="R162" s="34"/>
      <c r="S162" s="19"/>
      <c r="T162" s="19"/>
      <c r="U162" s="19"/>
      <c r="V162" s="19"/>
      <c r="W162" s="34" t="str">
        <f t="shared" si="41"/>
        <v/>
      </c>
      <c r="X162" s="19"/>
      <c r="Y162" s="34"/>
      <c r="Z162" s="19"/>
      <c r="AA162" s="34"/>
      <c r="AB162" s="34"/>
      <c r="AC162" s="34" t="str">
        <f t="shared" si="36"/>
        <v/>
      </c>
      <c r="AD162" s="19"/>
      <c r="AE162" s="19"/>
      <c r="AF162" s="34" t="str">
        <f>OTMaestraTable[[#This Row],[Solicitante]]</f>
        <v/>
      </c>
      <c r="AG162" s="19"/>
      <c r="AH162" s="19" t="str">
        <f t="shared" si="37"/>
        <v/>
      </c>
      <c r="AI162" s="30" t="str">
        <f t="shared" si="38"/>
        <v/>
      </c>
      <c r="AJ162" s="30" t="str">
        <f t="shared" si="39"/>
        <v/>
      </c>
      <c r="AK162" s="30" t="str">
        <f t="shared" si="40"/>
        <v/>
      </c>
      <c r="AL162" s="19"/>
    </row>
    <row r="163" spans="1:38">
      <c r="A163" s="23" t="str">
        <f>IF('02_Base_Solicitudes'!A161="","",'02_Base_Solicitudes'!R161)</f>
        <v/>
      </c>
      <c r="B163" s="30" t="str">
        <f>IF('02_Base_Solicitudes'!A161="","",'02_Base_Solicitudes'!A161)</f>
        <v/>
      </c>
      <c r="C163" s="23" t="str">
        <f>IF('02_Base_Solicitudes'!A161="","",'02_Base_Solicitudes'!C161)</f>
        <v/>
      </c>
      <c r="D163" s="23" t="str">
        <f>IF('02_Base_Solicitudes'!A161="","",'02_Base_Solicitudes'!D161)</f>
        <v/>
      </c>
      <c r="E163" s="23" t="str">
        <f>IF('02_Base_Solicitudes'!A161="","",'02_Base_Solicitudes'!E161)</f>
        <v/>
      </c>
      <c r="F163" s="23" t="str">
        <f>IF('02_Base_Solicitudes'!A161="","",'02_Base_Solicitudes'!G161)</f>
        <v/>
      </c>
      <c r="G163" s="23" t="str">
        <f>IF('02_Base_Solicitudes'!A161="","",'02_Base_Solicitudes'!H161)</f>
        <v/>
      </c>
      <c r="H163" s="32" t="str">
        <f>IF('02_Base_Solicitudes'!A161="","",'02_Base_Solicitudes'!I161)</f>
        <v/>
      </c>
      <c r="I163" s="30" t="str">
        <f>IF('02_Base_Solicitudes'!A161="","",'02_Base_Solicitudes'!J161)</f>
        <v/>
      </c>
      <c r="J163" s="23" t="str">
        <f>IF('02_Base_Solicitudes'!A161="","",'02_Base_Solicitudes'!M161)</f>
        <v/>
      </c>
      <c r="K163" s="33" t="str">
        <f>IF('02_Base_Solicitudes'!A161="","",'02_Base_Solicitudes'!K161)</f>
        <v/>
      </c>
      <c r="L163" s="19" t="str">
        <f t="shared" si="34"/>
        <v/>
      </c>
      <c r="M163" s="19"/>
      <c r="N163" s="34" t="str">
        <f t="shared" si="35"/>
        <v/>
      </c>
      <c r="O163" s="19"/>
      <c r="P163" s="34"/>
      <c r="Q163" s="19"/>
      <c r="R163" s="34"/>
      <c r="S163" s="19"/>
      <c r="T163" s="19"/>
      <c r="U163" s="19"/>
      <c r="V163" s="19"/>
      <c r="W163" s="34" t="str">
        <f t="shared" si="41"/>
        <v/>
      </c>
      <c r="X163" s="19"/>
      <c r="Y163" s="34"/>
      <c r="Z163" s="19"/>
      <c r="AA163" s="34"/>
      <c r="AB163" s="34"/>
      <c r="AC163" s="34" t="str">
        <f t="shared" si="36"/>
        <v/>
      </c>
      <c r="AD163" s="19"/>
      <c r="AE163" s="19"/>
      <c r="AF163" s="34" t="str">
        <f>OTMaestraTable[[#This Row],[Solicitante]]</f>
        <v/>
      </c>
      <c r="AG163" s="19"/>
      <c r="AH163" s="19" t="str">
        <f t="shared" si="37"/>
        <v/>
      </c>
      <c r="AI163" s="30" t="str">
        <f t="shared" si="38"/>
        <v/>
      </c>
      <c r="AJ163" s="30" t="str">
        <f t="shared" si="39"/>
        <v/>
      </c>
      <c r="AK163" s="30" t="str">
        <f t="shared" si="40"/>
        <v/>
      </c>
      <c r="AL163" s="19"/>
    </row>
    <row r="164" spans="1:38">
      <c r="A164" s="23" t="str">
        <f>IF('02_Base_Solicitudes'!A162="","",'02_Base_Solicitudes'!R162)</f>
        <v/>
      </c>
      <c r="B164" s="30" t="str">
        <f>IF('02_Base_Solicitudes'!A162="","",'02_Base_Solicitudes'!A162)</f>
        <v/>
      </c>
      <c r="C164" s="23" t="str">
        <f>IF('02_Base_Solicitudes'!A162="","",'02_Base_Solicitudes'!C162)</f>
        <v/>
      </c>
      <c r="D164" s="23" t="str">
        <f>IF('02_Base_Solicitudes'!A162="","",'02_Base_Solicitudes'!D162)</f>
        <v/>
      </c>
      <c r="E164" s="23" t="str">
        <f>IF('02_Base_Solicitudes'!A162="","",'02_Base_Solicitudes'!E162)</f>
        <v/>
      </c>
      <c r="F164" s="23" t="str">
        <f>IF('02_Base_Solicitudes'!A162="","",'02_Base_Solicitudes'!G162)</f>
        <v/>
      </c>
      <c r="G164" s="23" t="str">
        <f>IF('02_Base_Solicitudes'!A162="","",'02_Base_Solicitudes'!H162)</f>
        <v/>
      </c>
      <c r="H164" s="32" t="str">
        <f>IF('02_Base_Solicitudes'!A162="","",'02_Base_Solicitudes'!I162)</f>
        <v/>
      </c>
      <c r="I164" s="30" t="str">
        <f>IF('02_Base_Solicitudes'!A162="","",'02_Base_Solicitudes'!J162)</f>
        <v/>
      </c>
      <c r="J164" s="23" t="str">
        <f>IF('02_Base_Solicitudes'!A162="","",'02_Base_Solicitudes'!M162)</f>
        <v/>
      </c>
      <c r="K164" s="33" t="str">
        <f>IF('02_Base_Solicitudes'!A162="","",'02_Base_Solicitudes'!K162)</f>
        <v/>
      </c>
      <c r="L164" s="19" t="str">
        <f t="shared" ref="L164:L195" si="42">IF($A164="","","Julio Rivera")</f>
        <v/>
      </c>
      <c r="M164" s="19"/>
      <c r="N164" s="34" t="str">
        <f t="shared" ref="N164:N195" si="43">IF($A164="","","No")</f>
        <v/>
      </c>
      <c r="O164" s="19"/>
      <c r="P164" s="34"/>
      <c r="Q164" s="19"/>
      <c r="R164" s="34"/>
      <c r="S164" s="19"/>
      <c r="T164" s="19"/>
      <c r="U164" s="19"/>
      <c r="V164" s="19"/>
      <c r="W164" s="34" t="str">
        <f t="shared" ref="W164:W183" si="44">IF($A164="","","Pendiente")</f>
        <v/>
      </c>
      <c r="X164" s="19"/>
      <c r="Y164" s="34"/>
      <c r="Z164" s="19"/>
      <c r="AA164" s="34"/>
      <c r="AB164" s="34"/>
      <c r="AC164" s="34" t="str">
        <f t="shared" ref="AC164:AC195" si="45">IF($A164="","","Pendiente")</f>
        <v/>
      </c>
      <c r="AD164" s="19"/>
      <c r="AE164" s="19"/>
      <c r="AF164" s="34" t="str">
        <f>OTMaestraTable[[#This Row],[Solicitante]]</f>
        <v/>
      </c>
      <c r="AG164" s="19"/>
      <c r="AH164" s="19" t="str">
        <f t="shared" ref="AH164:AH195" si="46">IF($A164="","","Abierta")</f>
        <v/>
      </c>
      <c r="AI164" s="30" t="str">
        <f t="shared" ref="AI164:AI195" si="47">IF(AND(C164&lt;&gt;"",AG164&lt;&gt;""),AG164-C164,"")</f>
        <v/>
      </c>
      <c r="AJ164" s="30" t="str">
        <f t="shared" ref="AJ164:AJ195" si="48">IF(A164="","",IF(AND(AG164&lt;&gt;"",K164&lt;&gt;""),IF(AG164&lt;=K164,"Sí","No"),"Pendiente"))</f>
        <v/>
      </c>
      <c r="AK164" s="30" t="str">
        <f t="shared" ref="AK164:AK195" si="49">IF(A164="","",IF(AND($AH164="Cerrada",OR($AE164="",$AF164="",$AG164="")),"⚠ Cerrada incompleta",IF(AND($AH164&lt;&gt;"Cerrada",$AG164&lt;&gt;""),"⚠ Fecha cierre con estado abierto","OK")))</f>
        <v/>
      </c>
      <c r="AL164" s="19"/>
    </row>
    <row r="165" spans="1:38">
      <c r="A165" s="23" t="str">
        <f>IF('02_Base_Solicitudes'!A163="","",'02_Base_Solicitudes'!R163)</f>
        <v/>
      </c>
      <c r="B165" s="30" t="str">
        <f>IF('02_Base_Solicitudes'!A163="","",'02_Base_Solicitudes'!A163)</f>
        <v/>
      </c>
      <c r="C165" s="23" t="str">
        <f>IF('02_Base_Solicitudes'!A163="","",'02_Base_Solicitudes'!C163)</f>
        <v/>
      </c>
      <c r="D165" s="23" t="str">
        <f>IF('02_Base_Solicitudes'!A163="","",'02_Base_Solicitudes'!D163)</f>
        <v/>
      </c>
      <c r="E165" s="23" t="str">
        <f>IF('02_Base_Solicitudes'!A163="","",'02_Base_Solicitudes'!E163)</f>
        <v/>
      </c>
      <c r="F165" s="23" t="str">
        <f>IF('02_Base_Solicitudes'!A163="","",'02_Base_Solicitudes'!G163)</f>
        <v/>
      </c>
      <c r="G165" s="23" t="str">
        <f>IF('02_Base_Solicitudes'!A163="","",'02_Base_Solicitudes'!H163)</f>
        <v/>
      </c>
      <c r="H165" s="32" t="str">
        <f>IF('02_Base_Solicitudes'!A163="","",'02_Base_Solicitudes'!I163)</f>
        <v/>
      </c>
      <c r="I165" s="30" t="str">
        <f>IF('02_Base_Solicitudes'!A163="","",'02_Base_Solicitudes'!J163)</f>
        <v/>
      </c>
      <c r="J165" s="23" t="str">
        <f>IF('02_Base_Solicitudes'!A163="","",'02_Base_Solicitudes'!M163)</f>
        <v/>
      </c>
      <c r="K165" s="33" t="str">
        <f>IF('02_Base_Solicitudes'!A163="","",'02_Base_Solicitudes'!K163)</f>
        <v/>
      </c>
      <c r="L165" s="19" t="str">
        <f t="shared" si="42"/>
        <v/>
      </c>
      <c r="M165" s="19"/>
      <c r="N165" s="34" t="str">
        <f t="shared" si="43"/>
        <v/>
      </c>
      <c r="O165" s="19"/>
      <c r="P165" s="34"/>
      <c r="Q165" s="19"/>
      <c r="R165" s="34"/>
      <c r="S165" s="19"/>
      <c r="T165" s="19"/>
      <c r="U165" s="19"/>
      <c r="V165" s="19"/>
      <c r="W165" s="34" t="str">
        <f t="shared" si="44"/>
        <v/>
      </c>
      <c r="X165" s="19"/>
      <c r="Y165" s="34"/>
      <c r="Z165" s="19"/>
      <c r="AA165" s="34"/>
      <c r="AB165" s="34"/>
      <c r="AC165" s="34" t="str">
        <f t="shared" si="45"/>
        <v/>
      </c>
      <c r="AD165" s="19"/>
      <c r="AE165" s="19"/>
      <c r="AF165" s="34" t="str">
        <f>OTMaestraTable[[#This Row],[Solicitante]]</f>
        <v/>
      </c>
      <c r="AG165" s="19"/>
      <c r="AH165" s="19" t="str">
        <f t="shared" si="46"/>
        <v/>
      </c>
      <c r="AI165" s="30" t="str">
        <f t="shared" si="47"/>
        <v/>
      </c>
      <c r="AJ165" s="30" t="str">
        <f t="shared" si="48"/>
        <v/>
      </c>
      <c r="AK165" s="30" t="str">
        <f t="shared" si="49"/>
        <v/>
      </c>
      <c r="AL165" s="19"/>
    </row>
    <row r="166" spans="1:38">
      <c r="A166" s="23" t="str">
        <f>IF('02_Base_Solicitudes'!A164="","",'02_Base_Solicitudes'!R164)</f>
        <v/>
      </c>
      <c r="B166" s="30" t="str">
        <f>IF('02_Base_Solicitudes'!A164="","",'02_Base_Solicitudes'!A164)</f>
        <v/>
      </c>
      <c r="C166" s="23" t="str">
        <f>IF('02_Base_Solicitudes'!A164="","",'02_Base_Solicitudes'!C164)</f>
        <v/>
      </c>
      <c r="D166" s="23" t="str">
        <f>IF('02_Base_Solicitudes'!A164="","",'02_Base_Solicitudes'!D164)</f>
        <v/>
      </c>
      <c r="E166" s="23" t="str">
        <f>IF('02_Base_Solicitudes'!A164="","",'02_Base_Solicitudes'!E164)</f>
        <v/>
      </c>
      <c r="F166" s="23" t="str">
        <f>IF('02_Base_Solicitudes'!A164="","",'02_Base_Solicitudes'!G164)</f>
        <v/>
      </c>
      <c r="G166" s="23" t="str">
        <f>IF('02_Base_Solicitudes'!A164="","",'02_Base_Solicitudes'!H164)</f>
        <v/>
      </c>
      <c r="H166" s="32" t="str">
        <f>IF('02_Base_Solicitudes'!A164="","",'02_Base_Solicitudes'!I164)</f>
        <v/>
      </c>
      <c r="I166" s="30" t="str">
        <f>IF('02_Base_Solicitudes'!A164="","",'02_Base_Solicitudes'!J164)</f>
        <v/>
      </c>
      <c r="J166" s="23" t="str">
        <f>IF('02_Base_Solicitudes'!A164="","",'02_Base_Solicitudes'!M164)</f>
        <v/>
      </c>
      <c r="K166" s="33" t="str">
        <f>IF('02_Base_Solicitudes'!A164="","",'02_Base_Solicitudes'!K164)</f>
        <v/>
      </c>
      <c r="L166" s="19" t="str">
        <f t="shared" si="42"/>
        <v/>
      </c>
      <c r="M166" s="19"/>
      <c r="N166" s="34" t="str">
        <f t="shared" si="43"/>
        <v/>
      </c>
      <c r="O166" s="19"/>
      <c r="P166" s="34"/>
      <c r="Q166" s="19"/>
      <c r="R166" s="34"/>
      <c r="S166" s="19"/>
      <c r="T166" s="19"/>
      <c r="U166" s="19"/>
      <c r="V166" s="19"/>
      <c r="W166" s="34" t="str">
        <f t="shared" si="44"/>
        <v/>
      </c>
      <c r="X166" s="19"/>
      <c r="Y166" s="34"/>
      <c r="Z166" s="19"/>
      <c r="AA166" s="34"/>
      <c r="AB166" s="34"/>
      <c r="AC166" s="34" t="str">
        <f t="shared" si="45"/>
        <v/>
      </c>
      <c r="AD166" s="19"/>
      <c r="AE166" s="19"/>
      <c r="AF166" s="34" t="str">
        <f>OTMaestraTable[[#This Row],[Solicitante]]</f>
        <v/>
      </c>
      <c r="AG166" s="19"/>
      <c r="AH166" s="19" t="str">
        <f t="shared" si="46"/>
        <v/>
      </c>
      <c r="AI166" s="30" t="str">
        <f t="shared" si="47"/>
        <v/>
      </c>
      <c r="AJ166" s="30" t="str">
        <f t="shared" si="48"/>
        <v/>
      </c>
      <c r="AK166" s="30" t="str">
        <f t="shared" si="49"/>
        <v/>
      </c>
      <c r="AL166" s="19"/>
    </row>
    <row r="167" spans="1:38">
      <c r="A167" s="23" t="str">
        <f>IF('02_Base_Solicitudes'!A165="","",'02_Base_Solicitudes'!R165)</f>
        <v/>
      </c>
      <c r="B167" s="30" t="str">
        <f>IF('02_Base_Solicitudes'!A165="","",'02_Base_Solicitudes'!A165)</f>
        <v/>
      </c>
      <c r="C167" s="23" t="str">
        <f>IF('02_Base_Solicitudes'!A165="","",'02_Base_Solicitudes'!C165)</f>
        <v/>
      </c>
      <c r="D167" s="23" t="str">
        <f>IF('02_Base_Solicitudes'!A165="","",'02_Base_Solicitudes'!D165)</f>
        <v/>
      </c>
      <c r="E167" s="23" t="str">
        <f>IF('02_Base_Solicitudes'!A165="","",'02_Base_Solicitudes'!E165)</f>
        <v/>
      </c>
      <c r="F167" s="23" t="str">
        <f>IF('02_Base_Solicitudes'!A165="","",'02_Base_Solicitudes'!G165)</f>
        <v/>
      </c>
      <c r="G167" s="23" t="str">
        <f>IF('02_Base_Solicitudes'!A165="","",'02_Base_Solicitudes'!H165)</f>
        <v/>
      </c>
      <c r="H167" s="32" t="str">
        <f>IF('02_Base_Solicitudes'!A165="","",'02_Base_Solicitudes'!I165)</f>
        <v/>
      </c>
      <c r="I167" s="30" t="str">
        <f>IF('02_Base_Solicitudes'!A165="","",'02_Base_Solicitudes'!J165)</f>
        <v/>
      </c>
      <c r="J167" s="23" t="str">
        <f>IF('02_Base_Solicitudes'!A165="","",'02_Base_Solicitudes'!M165)</f>
        <v/>
      </c>
      <c r="K167" s="33" t="str">
        <f>IF('02_Base_Solicitudes'!A165="","",'02_Base_Solicitudes'!K165)</f>
        <v/>
      </c>
      <c r="L167" s="19" t="str">
        <f t="shared" si="42"/>
        <v/>
      </c>
      <c r="M167" s="19"/>
      <c r="N167" s="34" t="str">
        <f t="shared" si="43"/>
        <v/>
      </c>
      <c r="O167" s="19"/>
      <c r="P167" s="34"/>
      <c r="Q167" s="19"/>
      <c r="R167" s="34"/>
      <c r="S167" s="19"/>
      <c r="T167" s="19"/>
      <c r="U167" s="19"/>
      <c r="V167" s="19"/>
      <c r="W167" s="34" t="str">
        <f t="shared" si="44"/>
        <v/>
      </c>
      <c r="X167" s="19"/>
      <c r="Y167" s="34"/>
      <c r="Z167" s="19"/>
      <c r="AA167" s="34"/>
      <c r="AB167" s="34"/>
      <c r="AC167" s="34" t="str">
        <f t="shared" si="45"/>
        <v/>
      </c>
      <c r="AD167" s="19"/>
      <c r="AE167" s="19"/>
      <c r="AF167" s="34" t="str">
        <f>OTMaestraTable[[#This Row],[Solicitante]]</f>
        <v/>
      </c>
      <c r="AG167" s="19"/>
      <c r="AH167" s="19" t="str">
        <f t="shared" si="46"/>
        <v/>
      </c>
      <c r="AI167" s="30" t="str">
        <f t="shared" si="47"/>
        <v/>
      </c>
      <c r="AJ167" s="30" t="str">
        <f t="shared" si="48"/>
        <v/>
      </c>
      <c r="AK167" s="30" t="str">
        <f t="shared" si="49"/>
        <v/>
      </c>
      <c r="AL167" s="19"/>
    </row>
    <row r="168" spans="1:38">
      <c r="A168" s="23" t="str">
        <f>IF('02_Base_Solicitudes'!A166="","",'02_Base_Solicitudes'!R166)</f>
        <v/>
      </c>
      <c r="B168" s="30" t="str">
        <f>IF('02_Base_Solicitudes'!A166="","",'02_Base_Solicitudes'!A166)</f>
        <v/>
      </c>
      <c r="C168" s="23" t="str">
        <f>IF('02_Base_Solicitudes'!A166="","",'02_Base_Solicitudes'!C166)</f>
        <v/>
      </c>
      <c r="D168" s="23" t="str">
        <f>IF('02_Base_Solicitudes'!A166="","",'02_Base_Solicitudes'!D166)</f>
        <v/>
      </c>
      <c r="E168" s="23" t="str">
        <f>IF('02_Base_Solicitudes'!A166="","",'02_Base_Solicitudes'!E166)</f>
        <v/>
      </c>
      <c r="F168" s="23" t="str">
        <f>IF('02_Base_Solicitudes'!A166="","",'02_Base_Solicitudes'!G166)</f>
        <v/>
      </c>
      <c r="G168" s="23" t="str">
        <f>IF('02_Base_Solicitudes'!A166="","",'02_Base_Solicitudes'!H166)</f>
        <v/>
      </c>
      <c r="H168" s="32" t="str">
        <f>IF('02_Base_Solicitudes'!A166="","",'02_Base_Solicitudes'!I166)</f>
        <v/>
      </c>
      <c r="I168" s="30" t="str">
        <f>IF('02_Base_Solicitudes'!A166="","",'02_Base_Solicitudes'!J166)</f>
        <v/>
      </c>
      <c r="J168" s="23" t="str">
        <f>IF('02_Base_Solicitudes'!A166="","",'02_Base_Solicitudes'!M166)</f>
        <v/>
      </c>
      <c r="K168" s="33" t="str">
        <f>IF('02_Base_Solicitudes'!A166="","",'02_Base_Solicitudes'!K166)</f>
        <v/>
      </c>
      <c r="L168" s="19" t="str">
        <f t="shared" si="42"/>
        <v/>
      </c>
      <c r="M168" s="19"/>
      <c r="N168" s="34" t="str">
        <f t="shared" si="43"/>
        <v/>
      </c>
      <c r="O168" s="19"/>
      <c r="P168" s="34"/>
      <c r="Q168" s="19"/>
      <c r="R168" s="34"/>
      <c r="S168" s="19"/>
      <c r="T168" s="19"/>
      <c r="U168" s="19"/>
      <c r="V168" s="19"/>
      <c r="W168" s="34" t="str">
        <f t="shared" si="44"/>
        <v/>
      </c>
      <c r="X168" s="19"/>
      <c r="Y168" s="34"/>
      <c r="Z168" s="19"/>
      <c r="AA168" s="34"/>
      <c r="AB168" s="34"/>
      <c r="AC168" s="34" t="str">
        <f t="shared" si="45"/>
        <v/>
      </c>
      <c r="AD168" s="19"/>
      <c r="AE168" s="19"/>
      <c r="AF168" s="34" t="str">
        <f>OTMaestraTable[[#This Row],[Solicitante]]</f>
        <v/>
      </c>
      <c r="AG168" s="19"/>
      <c r="AH168" s="19" t="str">
        <f t="shared" si="46"/>
        <v/>
      </c>
      <c r="AI168" s="30" t="str">
        <f t="shared" si="47"/>
        <v/>
      </c>
      <c r="AJ168" s="30" t="str">
        <f t="shared" si="48"/>
        <v/>
      </c>
      <c r="AK168" s="30" t="str">
        <f t="shared" si="49"/>
        <v/>
      </c>
      <c r="AL168" s="19"/>
    </row>
    <row r="169" spans="1:38">
      <c r="A169" s="23" t="str">
        <f>IF('02_Base_Solicitudes'!A167="","",'02_Base_Solicitudes'!R167)</f>
        <v/>
      </c>
      <c r="B169" s="30" t="str">
        <f>IF('02_Base_Solicitudes'!A167="","",'02_Base_Solicitudes'!A167)</f>
        <v/>
      </c>
      <c r="C169" s="23" t="str">
        <f>IF('02_Base_Solicitudes'!A167="","",'02_Base_Solicitudes'!C167)</f>
        <v/>
      </c>
      <c r="D169" s="23" t="str">
        <f>IF('02_Base_Solicitudes'!A167="","",'02_Base_Solicitudes'!D167)</f>
        <v/>
      </c>
      <c r="E169" s="23" t="str">
        <f>IF('02_Base_Solicitudes'!A167="","",'02_Base_Solicitudes'!E167)</f>
        <v/>
      </c>
      <c r="F169" s="23" t="str">
        <f>IF('02_Base_Solicitudes'!A167="","",'02_Base_Solicitudes'!G167)</f>
        <v/>
      </c>
      <c r="G169" s="23" t="str">
        <f>IF('02_Base_Solicitudes'!A167="","",'02_Base_Solicitudes'!H167)</f>
        <v/>
      </c>
      <c r="H169" s="32" t="str">
        <f>IF('02_Base_Solicitudes'!A167="","",'02_Base_Solicitudes'!I167)</f>
        <v/>
      </c>
      <c r="I169" s="30" t="str">
        <f>IF('02_Base_Solicitudes'!A167="","",'02_Base_Solicitudes'!J167)</f>
        <v/>
      </c>
      <c r="J169" s="23" t="str">
        <f>IF('02_Base_Solicitudes'!A167="","",'02_Base_Solicitudes'!M167)</f>
        <v/>
      </c>
      <c r="K169" s="33" t="str">
        <f>IF('02_Base_Solicitudes'!A167="","",'02_Base_Solicitudes'!K167)</f>
        <v/>
      </c>
      <c r="L169" s="19" t="str">
        <f t="shared" si="42"/>
        <v/>
      </c>
      <c r="M169" s="19"/>
      <c r="N169" s="34" t="str">
        <f t="shared" si="43"/>
        <v/>
      </c>
      <c r="O169" s="19"/>
      <c r="P169" s="34"/>
      <c r="Q169" s="19"/>
      <c r="R169" s="34"/>
      <c r="S169" s="19"/>
      <c r="T169" s="19"/>
      <c r="U169" s="19"/>
      <c r="V169" s="19"/>
      <c r="W169" s="34" t="str">
        <f t="shared" si="44"/>
        <v/>
      </c>
      <c r="X169" s="19"/>
      <c r="Y169" s="34"/>
      <c r="Z169" s="19"/>
      <c r="AA169" s="34"/>
      <c r="AB169" s="34"/>
      <c r="AC169" s="34" t="str">
        <f t="shared" si="45"/>
        <v/>
      </c>
      <c r="AD169" s="19"/>
      <c r="AE169" s="19"/>
      <c r="AF169" s="34" t="str">
        <f>OTMaestraTable[[#This Row],[Solicitante]]</f>
        <v/>
      </c>
      <c r="AG169" s="19"/>
      <c r="AH169" s="19" t="str">
        <f t="shared" si="46"/>
        <v/>
      </c>
      <c r="AI169" s="30" t="str">
        <f t="shared" si="47"/>
        <v/>
      </c>
      <c r="AJ169" s="30" t="str">
        <f t="shared" si="48"/>
        <v/>
      </c>
      <c r="AK169" s="30" t="str">
        <f t="shared" si="49"/>
        <v/>
      </c>
      <c r="AL169" s="19"/>
    </row>
    <row r="170" spans="1:38">
      <c r="A170" s="23" t="str">
        <f>IF('02_Base_Solicitudes'!A168="","",'02_Base_Solicitudes'!R168)</f>
        <v/>
      </c>
      <c r="B170" s="30" t="str">
        <f>IF('02_Base_Solicitudes'!A168="","",'02_Base_Solicitudes'!A168)</f>
        <v/>
      </c>
      <c r="C170" s="23" t="str">
        <f>IF('02_Base_Solicitudes'!A168="","",'02_Base_Solicitudes'!C168)</f>
        <v/>
      </c>
      <c r="D170" s="23" t="str">
        <f>IF('02_Base_Solicitudes'!A168="","",'02_Base_Solicitudes'!D168)</f>
        <v/>
      </c>
      <c r="E170" s="23" t="str">
        <f>IF('02_Base_Solicitudes'!A168="","",'02_Base_Solicitudes'!E168)</f>
        <v/>
      </c>
      <c r="F170" s="23" t="str">
        <f>IF('02_Base_Solicitudes'!A168="","",'02_Base_Solicitudes'!G168)</f>
        <v/>
      </c>
      <c r="G170" s="23" t="str">
        <f>IF('02_Base_Solicitudes'!A168="","",'02_Base_Solicitudes'!H168)</f>
        <v/>
      </c>
      <c r="H170" s="32" t="str">
        <f>IF('02_Base_Solicitudes'!A168="","",'02_Base_Solicitudes'!I168)</f>
        <v/>
      </c>
      <c r="I170" s="30" t="str">
        <f>IF('02_Base_Solicitudes'!A168="","",'02_Base_Solicitudes'!J168)</f>
        <v/>
      </c>
      <c r="J170" s="23" t="str">
        <f>IF('02_Base_Solicitudes'!A168="","",'02_Base_Solicitudes'!M168)</f>
        <v/>
      </c>
      <c r="K170" s="33" t="str">
        <f>IF('02_Base_Solicitudes'!A168="","",'02_Base_Solicitudes'!K168)</f>
        <v/>
      </c>
      <c r="L170" s="19" t="str">
        <f t="shared" si="42"/>
        <v/>
      </c>
      <c r="M170" s="19"/>
      <c r="N170" s="34" t="str">
        <f t="shared" si="43"/>
        <v/>
      </c>
      <c r="O170" s="19"/>
      <c r="P170" s="34"/>
      <c r="Q170" s="19"/>
      <c r="R170" s="34"/>
      <c r="S170" s="19"/>
      <c r="T170" s="19"/>
      <c r="U170" s="19"/>
      <c r="V170" s="19"/>
      <c r="W170" s="34" t="str">
        <f t="shared" si="44"/>
        <v/>
      </c>
      <c r="X170" s="19"/>
      <c r="Y170" s="34"/>
      <c r="Z170" s="19"/>
      <c r="AA170" s="34"/>
      <c r="AB170" s="34"/>
      <c r="AC170" s="34" t="str">
        <f t="shared" si="45"/>
        <v/>
      </c>
      <c r="AD170" s="19"/>
      <c r="AE170" s="19"/>
      <c r="AF170" s="34" t="str">
        <f>OTMaestraTable[[#This Row],[Solicitante]]</f>
        <v/>
      </c>
      <c r="AG170" s="19"/>
      <c r="AH170" s="19" t="str">
        <f t="shared" si="46"/>
        <v/>
      </c>
      <c r="AI170" s="30" t="str">
        <f t="shared" si="47"/>
        <v/>
      </c>
      <c r="AJ170" s="30" t="str">
        <f t="shared" si="48"/>
        <v/>
      </c>
      <c r="AK170" s="30" t="str">
        <f t="shared" si="49"/>
        <v/>
      </c>
      <c r="AL170" s="19"/>
    </row>
    <row r="171" spans="1:38">
      <c r="A171" s="23" t="str">
        <f>IF('02_Base_Solicitudes'!A169="","",'02_Base_Solicitudes'!R169)</f>
        <v/>
      </c>
      <c r="B171" s="30" t="str">
        <f>IF('02_Base_Solicitudes'!A169="","",'02_Base_Solicitudes'!A169)</f>
        <v/>
      </c>
      <c r="C171" s="23" t="str">
        <f>IF('02_Base_Solicitudes'!A169="","",'02_Base_Solicitudes'!C169)</f>
        <v/>
      </c>
      <c r="D171" s="23" t="str">
        <f>IF('02_Base_Solicitudes'!A169="","",'02_Base_Solicitudes'!D169)</f>
        <v/>
      </c>
      <c r="E171" s="23" t="str">
        <f>IF('02_Base_Solicitudes'!A169="","",'02_Base_Solicitudes'!E169)</f>
        <v/>
      </c>
      <c r="F171" s="23" t="str">
        <f>IF('02_Base_Solicitudes'!A169="","",'02_Base_Solicitudes'!G169)</f>
        <v/>
      </c>
      <c r="G171" s="23" t="str">
        <f>IF('02_Base_Solicitudes'!A169="","",'02_Base_Solicitudes'!H169)</f>
        <v/>
      </c>
      <c r="H171" s="32" t="str">
        <f>IF('02_Base_Solicitudes'!A169="","",'02_Base_Solicitudes'!I169)</f>
        <v/>
      </c>
      <c r="I171" s="30" t="str">
        <f>IF('02_Base_Solicitudes'!A169="","",'02_Base_Solicitudes'!J169)</f>
        <v/>
      </c>
      <c r="J171" s="23" t="str">
        <f>IF('02_Base_Solicitudes'!A169="","",'02_Base_Solicitudes'!M169)</f>
        <v/>
      </c>
      <c r="K171" s="33" t="str">
        <f>IF('02_Base_Solicitudes'!A169="","",'02_Base_Solicitudes'!K169)</f>
        <v/>
      </c>
      <c r="L171" s="19" t="str">
        <f t="shared" si="42"/>
        <v/>
      </c>
      <c r="M171" s="19"/>
      <c r="N171" s="34" t="str">
        <f t="shared" si="43"/>
        <v/>
      </c>
      <c r="O171" s="19"/>
      <c r="P171" s="34"/>
      <c r="Q171" s="19"/>
      <c r="R171" s="34"/>
      <c r="S171" s="19"/>
      <c r="T171" s="19"/>
      <c r="U171" s="19"/>
      <c r="V171" s="19"/>
      <c r="W171" s="34" t="str">
        <f t="shared" si="44"/>
        <v/>
      </c>
      <c r="X171" s="19"/>
      <c r="Y171" s="34"/>
      <c r="Z171" s="19"/>
      <c r="AA171" s="34"/>
      <c r="AB171" s="34"/>
      <c r="AC171" s="34" t="str">
        <f t="shared" si="45"/>
        <v/>
      </c>
      <c r="AD171" s="19"/>
      <c r="AE171" s="19"/>
      <c r="AF171" s="34" t="str">
        <f>OTMaestraTable[[#This Row],[Solicitante]]</f>
        <v/>
      </c>
      <c r="AG171" s="19"/>
      <c r="AH171" s="19" t="str">
        <f t="shared" si="46"/>
        <v/>
      </c>
      <c r="AI171" s="30" t="str">
        <f t="shared" si="47"/>
        <v/>
      </c>
      <c r="AJ171" s="30" t="str">
        <f t="shared" si="48"/>
        <v/>
      </c>
      <c r="AK171" s="30" t="str">
        <f t="shared" si="49"/>
        <v/>
      </c>
      <c r="AL171" s="19"/>
    </row>
    <row r="172" spans="1:38">
      <c r="A172" s="23" t="str">
        <f>IF('02_Base_Solicitudes'!A170="","",'02_Base_Solicitudes'!R170)</f>
        <v/>
      </c>
      <c r="B172" s="30" t="str">
        <f>IF('02_Base_Solicitudes'!A170="","",'02_Base_Solicitudes'!A170)</f>
        <v/>
      </c>
      <c r="C172" s="23" t="str">
        <f>IF('02_Base_Solicitudes'!A170="","",'02_Base_Solicitudes'!C170)</f>
        <v/>
      </c>
      <c r="D172" s="23" t="str">
        <f>IF('02_Base_Solicitudes'!A170="","",'02_Base_Solicitudes'!D170)</f>
        <v/>
      </c>
      <c r="E172" s="23" t="str">
        <f>IF('02_Base_Solicitudes'!A170="","",'02_Base_Solicitudes'!E170)</f>
        <v/>
      </c>
      <c r="F172" s="23" t="str">
        <f>IF('02_Base_Solicitudes'!A170="","",'02_Base_Solicitudes'!G170)</f>
        <v/>
      </c>
      <c r="G172" s="23" t="str">
        <f>IF('02_Base_Solicitudes'!A170="","",'02_Base_Solicitudes'!H170)</f>
        <v/>
      </c>
      <c r="H172" s="32" t="str">
        <f>IF('02_Base_Solicitudes'!A170="","",'02_Base_Solicitudes'!I170)</f>
        <v/>
      </c>
      <c r="I172" s="30" t="str">
        <f>IF('02_Base_Solicitudes'!A170="","",'02_Base_Solicitudes'!J170)</f>
        <v/>
      </c>
      <c r="J172" s="23" t="str">
        <f>IF('02_Base_Solicitudes'!A170="","",'02_Base_Solicitudes'!M170)</f>
        <v/>
      </c>
      <c r="K172" s="33" t="str">
        <f>IF('02_Base_Solicitudes'!A170="","",'02_Base_Solicitudes'!K170)</f>
        <v/>
      </c>
      <c r="L172" s="19" t="str">
        <f t="shared" si="42"/>
        <v/>
      </c>
      <c r="M172" s="19"/>
      <c r="N172" s="34" t="str">
        <f t="shared" si="43"/>
        <v/>
      </c>
      <c r="O172" s="19"/>
      <c r="P172" s="34"/>
      <c r="Q172" s="19"/>
      <c r="R172" s="34"/>
      <c r="S172" s="19"/>
      <c r="T172" s="19"/>
      <c r="U172" s="19"/>
      <c r="V172" s="19"/>
      <c r="W172" s="34" t="str">
        <f t="shared" si="44"/>
        <v/>
      </c>
      <c r="X172" s="19"/>
      <c r="Y172" s="34"/>
      <c r="Z172" s="19"/>
      <c r="AA172" s="34"/>
      <c r="AB172" s="34"/>
      <c r="AC172" s="34" t="str">
        <f t="shared" si="45"/>
        <v/>
      </c>
      <c r="AD172" s="19"/>
      <c r="AE172" s="19"/>
      <c r="AF172" s="34" t="str">
        <f>OTMaestraTable[[#This Row],[Solicitante]]</f>
        <v/>
      </c>
      <c r="AG172" s="19"/>
      <c r="AH172" s="19" t="str">
        <f t="shared" si="46"/>
        <v/>
      </c>
      <c r="AI172" s="30" t="str">
        <f t="shared" si="47"/>
        <v/>
      </c>
      <c r="AJ172" s="30" t="str">
        <f t="shared" si="48"/>
        <v/>
      </c>
      <c r="AK172" s="30" t="str">
        <f t="shared" si="49"/>
        <v/>
      </c>
      <c r="AL172" s="19"/>
    </row>
    <row r="173" spans="1:38">
      <c r="A173" s="23" t="str">
        <f>IF('02_Base_Solicitudes'!A171="","",'02_Base_Solicitudes'!R171)</f>
        <v/>
      </c>
      <c r="B173" s="30" t="str">
        <f>IF('02_Base_Solicitudes'!A171="","",'02_Base_Solicitudes'!A171)</f>
        <v/>
      </c>
      <c r="C173" s="23" t="str">
        <f>IF('02_Base_Solicitudes'!A171="","",'02_Base_Solicitudes'!C171)</f>
        <v/>
      </c>
      <c r="D173" s="23" t="str">
        <f>IF('02_Base_Solicitudes'!A171="","",'02_Base_Solicitudes'!D171)</f>
        <v/>
      </c>
      <c r="E173" s="23" t="str">
        <f>IF('02_Base_Solicitudes'!A171="","",'02_Base_Solicitudes'!E171)</f>
        <v/>
      </c>
      <c r="F173" s="23" t="str">
        <f>IF('02_Base_Solicitudes'!A171="","",'02_Base_Solicitudes'!G171)</f>
        <v/>
      </c>
      <c r="G173" s="23" t="str">
        <f>IF('02_Base_Solicitudes'!A171="","",'02_Base_Solicitudes'!H171)</f>
        <v/>
      </c>
      <c r="H173" s="32" t="str">
        <f>IF('02_Base_Solicitudes'!A171="","",'02_Base_Solicitudes'!I171)</f>
        <v/>
      </c>
      <c r="I173" s="30" t="str">
        <f>IF('02_Base_Solicitudes'!A171="","",'02_Base_Solicitudes'!J171)</f>
        <v/>
      </c>
      <c r="J173" s="23" t="str">
        <f>IF('02_Base_Solicitudes'!A171="","",'02_Base_Solicitudes'!M171)</f>
        <v/>
      </c>
      <c r="K173" s="33" t="str">
        <f>IF('02_Base_Solicitudes'!A171="","",'02_Base_Solicitudes'!K171)</f>
        <v/>
      </c>
      <c r="L173" s="19" t="str">
        <f t="shared" si="42"/>
        <v/>
      </c>
      <c r="M173" s="19"/>
      <c r="N173" s="34" t="str">
        <f t="shared" si="43"/>
        <v/>
      </c>
      <c r="O173" s="19"/>
      <c r="P173" s="34"/>
      <c r="Q173" s="19"/>
      <c r="R173" s="34"/>
      <c r="S173" s="19"/>
      <c r="T173" s="19"/>
      <c r="U173" s="19"/>
      <c r="V173" s="19"/>
      <c r="W173" s="34" t="str">
        <f t="shared" si="44"/>
        <v/>
      </c>
      <c r="X173" s="19"/>
      <c r="Y173" s="34"/>
      <c r="Z173" s="19"/>
      <c r="AA173" s="34"/>
      <c r="AB173" s="34"/>
      <c r="AC173" s="34" t="str">
        <f t="shared" si="45"/>
        <v/>
      </c>
      <c r="AD173" s="19"/>
      <c r="AE173" s="19"/>
      <c r="AF173" s="34" t="str">
        <f>OTMaestraTable[[#This Row],[Solicitante]]</f>
        <v/>
      </c>
      <c r="AG173" s="19"/>
      <c r="AH173" s="19" t="str">
        <f t="shared" si="46"/>
        <v/>
      </c>
      <c r="AI173" s="30" t="str">
        <f t="shared" si="47"/>
        <v/>
      </c>
      <c r="AJ173" s="30" t="str">
        <f t="shared" si="48"/>
        <v/>
      </c>
      <c r="AK173" s="30" t="str">
        <f t="shared" si="49"/>
        <v/>
      </c>
      <c r="AL173" s="19"/>
    </row>
    <row r="174" spans="1:38">
      <c r="A174" s="23" t="str">
        <f>IF('02_Base_Solicitudes'!A172="","",'02_Base_Solicitudes'!R172)</f>
        <v/>
      </c>
      <c r="B174" s="30" t="str">
        <f>IF('02_Base_Solicitudes'!A172="","",'02_Base_Solicitudes'!A172)</f>
        <v/>
      </c>
      <c r="C174" s="23" t="str">
        <f>IF('02_Base_Solicitudes'!A172="","",'02_Base_Solicitudes'!C172)</f>
        <v/>
      </c>
      <c r="D174" s="23" t="str">
        <f>IF('02_Base_Solicitudes'!A172="","",'02_Base_Solicitudes'!D172)</f>
        <v/>
      </c>
      <c r="E174" s="23" t="str">
        <f>IF('02_Base_Solicitudes'!A172="","",'02_Base_Solicitudes'!E172)</f>
        <v/>
      </c>
      <c r="F174" s="23" t="str">
        <f>IF('02_Base_Solicitudes'!A172="","",'02_Base_Solicitudes'!G172)</f>
        <v/>
      </c>
      <c r="G174" s="23" t="str">
        <f>IF('02_Base_Solicitudes'!A172="","",'02_Base_Solicitudes'!H172)</f>
        <v/>
      </c>
      <c r="H174" s="32" t="str">
        <f>IF('02_Base_Solicitudes'!A172="","",'02_Base_Solicitudes'!I172)</f>
        <v/>
      </c>
      <c r="I174" s="30" t="str">
        <f>IF('02_Base_Solicitudes'!A172="","",'02_Base_Solicitudes'!J172)</f>
        <v/>
      </c>
      <c r="J174" s="23" t="str">
        <f>IF('02_Base_Solicitudes'!A172="","",'02_Base_Solicitudes'!M172)</f>
        <v/>
      </c>
      <c r="K174" s="33" t="str">
        <f>IF('02_Base_Solicitudes'!A172="","",'02_Base_Solicitudes'!K172)</f>
        <v/>
      </c>
      <c r="L174" s="19" t="str">
        <f t="shared" si="42"/>
        <v/>
      </c>
      <c r="M174" s="19"/>
      <c r="N174" s="34" t="str">
        <f t="shared" si="43"/>
        <v/>
      </c>
      <c r="O174" s="19"/>
      <c r="P174" s="34"/>
      <c r="Q174" s="19"/>
      <c r="R174" s="34"/>
      <c r="S174" s="19"/>
      <c r="T174" s="19"/>
      <c r="U174" s="19"/>
      <c r="V174" s="19"/>
      <c r="W174" s="34" t="str">
        <f t="shared" si="44"/>
        <v/>
      </c>
      <c r="X174" s="19"/>
      <c r="Y174" s="34"/>
      <c r="Z174" s="19"/>
      <c r="AA174" s="34"/>
      <c r="AB174" s="34"/>
      <c r="AC174" s="34" t="str">
        <f t="shared" si="45"/>
        <v/>
      </c>
      <c r="AD174" s="19"/>
      <c r="AE174" s="19"/>
      <c r="AF174" s="34" t="str">
        <f>OTMaestraTable[[#This Row],[Solicitante]]</f>
        <v/>
      </c>
      <c r="AG174" s="19"/>
      <c r="AH174" s="19" t="str">
        <f t="shared" si="46"/>
        <v/>
      </c>
      <c r="AI174" s="30" t="str">
        <f t="shared" si="47"/>
        <v/>
      </c>
      <c r="AJ174" s="30" t="str">
        <f t="shared" si="48"/>
        <v/>
      </c>
      <c r="AK174" s="30" t="str">
        <f t="shared" si="49"/>
        <v/>
      </c>
      <c r="AL174" s="19"/>
    </row>
    <row r="175" spans="1:38">
      <c r="A175" s="23" t="str">
        <f>IF('02_Base_Solicitudes'!A173="","",'02_Base_Solicitudes'!R173)</f>
        <v/>
      </c>
      <c r="B175" s="30" t="str">
        <f>IF('02_Base_Solicitudes'!A173="","",'02_Base_Solicitudes'!A173)</f>
        <v/>
      </c>
      <c r="C175" s="23" t="str">
        <f>IF('02_Base_Solicitudes'!A173="","",'02_Base_Solicitudes'!C173)</f>
        <v/>
      </c>
      <c r="D175" s="23" t="str">
        <f>IF('02_Base_Solicitudes'!A173="","",'02_Base_Solicitudes'!D173)</f>
        <v/>
      </c>
      <c r="E175" s="23" t="str">
        <f>IF('02_Base_Solicitudes'!A173="","",'02_Base_Solicitudes'!E173)</f>
        <v/>
      </c>
      <c r="F175" s="23" t="str">
        <f>IF('02_Base_Solicitudes'!A173="","",'02_Base_Solicitudes'!G173)</f>
        <v/>
      </c>
      <c r="G175" s="23" t="str">
        <f>IF('02_Base_Solicitudes'!A173="","",'02_Base_Solicitudes'!H173)</f>
        <v/>
      </c>
      <c r="H175" s="32" t="str">
        <f>IF('02_Base_Solicitudes'!A173="","",'02_Base_Solicitudes'!I173)</f>
        <v/>
      </c>
      <c r="I175" s="30" t="str">
        <f>IF('02_Base_Solicitudes'!A173="","",'02_Base_Solicitudes'!J173)</f>
        <v/>
      </c>
      <c r="J175" s="23" t="str">
        <f>IF('02_Base_Solicitudes'!A173="","",'02_Base_Solicitudes'!M173)</f>
        <v/>
      </c>
      <c r="K175" s="33" t="str">
        <f>IF('02_Base_Solicitudes'!A173="","",'02_Base_Solicitudes'!K173)</f>
        <v/>
      </c>
      <c r="L175" s="19" t="str">
        <f t="shared" si="42"/>
        <v/>
      </c>
      <c r="M175" s="19"/>
      <c r="N175" s="34" t="str">
        <f t="shared" si="43"/>
        <v/>
      </c>
      <c r="O175" s="19"/>
      <c r="P175" s="34"/>
      <c r="Q175" s="19"/>
      <c r="R175" s="34"/>
      <c r="S175" s="19"/>
      <c r="T175" s="19"/>
      <c r="U175" s="19"/>
      <c r="V175" s="19"/>
      <c r="W175" s="34" t="str">
        <f t="shared" si="44"/>
        <v/>
      </c>
      <c r="X175" s="19"/>
      <c r="Y175" s="34"/>
      <c r="Z175" s="19"/>
      <c r="AA175" s="34"/>
      <c r="AB175" s="34"/>
      <c r="AC175" s="34" t="str">
        <f t="shared" si="45"/>
        <v/>
      </c>
      <c r="AD175" s="19"/>
      <c r="AE175" s="19"/>
      <c r="AF175" s="34" t="str">
        <f>OTMaestraTable[[#This Row],[Solicitante]]</f>
        <v/>
      </c>
      <c r="AG175" s="19"/>
      <c r="AH175" s="19" t="str">
        <f t="shared" si="46"/>
        <v/>
      </c>
      <c r="AI175" s="30" t="str">
        <f t="shared" si="47"/>
        <v/>
      </c>
      <c r="AJ175" s="30" t="str">
        <f t="shared" si="48"/>
        <v/>
      </c>
      <c r="AK175" s="30" t="str">
        <f t="shared" si="49"/>
        <v/>
      </c>
      <c r="AL175" s="19"/>
    </row>
    <row r="176" spans="1:38">
      <c r="A176" s="23" t="str">
        <f>IF('02_Base_Solicitudes'!A174="","",'02_Base_Solicitudes'!R174)</f>
        <v/>
      </c>
      <c r="B176" s="30" t="str">
        <f>IF('02_Base_Solicitudes'!A174="","",'02_Base_Solicitudes'!A174)</f>
        <v/>
      </c>
      <c r="C176" s="23" t="str">
        <f>IF('02_Base_Solicitudes'!A174="","",'02_Base_Solicitudes'!C174)</f>
        <v/>
      </c>
      <c r="D176" s="23" t="str">
        <f>IF('02_Base_Solicitudes'!A174="","",'02_Base_Solicitudes'!D174)</f>
        <v/>
      </c>
      <c r="E176" s="23" t="str">
        <f>IF('02_Base_Solicitudes'!A174="","",'02_Base_Solicitudes'!E174)</f>
        <v/>
      </c>
      <c r="F176" s="23" t="str">
        <f>IF('02_Base_Solicitudes'!A174="","",'02_Base_Solicitudes'!G174)</f>
        <v/>
      </c>
      <c r="G176" s="23" t="str">
        <f>IF('02_Base_Solicitudes'!A174="","",'02_Base_Solicitudes'!H174)</f>
        <v/>
      </c>
      <c r="H176" s="32" t="str">
        <f>IF('02_Base_Solicitudes'!A174="","",'02_Base_Solicitudes'!I174)</f>
        <v/>
      </c>
      <c r="I176" s="30" t="str">
        <f>IF('02_Base_Solicitudes'!A174="","",'02_Base_Solicitudes'!J174)</f>
        <v/>
      </c>
      <c r="J176" s="23" t="str">
        <f>IF('02_Base_Solicitudes'!A174="","",'02_Base_Solicitudes'!M174)</f>
        <v/>
      </c>
      <c r="K176" s="33" t="str">
        <f>IF('02_Base_Solicitudes'!A174="","",'02_Base_Solicitudes'!K174)</f>
        <v/>
      </c>
      <c r="L176" s="19" t="str">
        <f t="shared" si="42"/>
        <v/>
      </c>
      <c r="M176" s="19"/>
      <c r="N176" s="34" t="str">
        <f t="shared" si="43"/>
        <v/>
      </c>
      <c r="O176" s="19"/>
      <c r="P176" s="34"/>
      <c r="Q176" s="19"/>
      <c r="R176" s="34"/>
      <c r="S176" s="19"/>
      <c r="T176" s="19"/>
      <c r="U176" s="19"/>
      <c r="V176" s="19"/>
      <c r="W176" s="34" t="str">
        <f t="shared" si="44"/>
        <v/>
      </c>
      <c r="X176" s="19"/>
      <c r="Y176" s="34"/>
      <c r="Z176" s="19"/>
      <c r="AA176" s="34"/>
      <c r="AB176" s="34"/>
      <c r="AC176" s="34" t="str">
        <f t="shared" si="45"/>
        <v/>
      </c>
      <c r="AD176" s="19"/>
      <c r="AE176" s="19"/>
      <c r="AF176" s="34" t="str">
        <f>OTMaestraTable[[#This Row],[Solicitante]]</f>
        <v/>
      </c>
      <c r="AG176" s="19"/>
      <c r="AH176" s="19" t="str">
        <f t="shared" si="46"/>
        <v/>
      </c>
      <c r="AI176" s="30" t="str">
        <f t="shared" si="47"/>
        <v/>
      </c>
      <c r="AJ176" s="30" t="str">
        <f t="shared" si="48"/>
        <v/>
      </c>
      <c r="AK176" s="30" t="str">
        <f t="shared" si="49"/>
        <v/>
      </c>
      <c r="AL176" s="19"/>
    </row>
    <row r="177" spans="1:38">
      <c r="A177" s="23" t="str">
        <f>IF('02_Base_Solicitudes'!A175="","",'02_Base_Solicitudes'!R175)</f>
        <v/>
      </c>
      <c r="B177" s="30" t="str">
        <f>IF('02_Base_Solicitudes'!A175="","",'02_Base_Solicitudes'!A175)</f>
        <v/>
      </c>
      <c r="C177" s="23" t="str">
        <f>IF('02_Base_Solicitudes'!A175="","",'02_Base_Solicitudes'!C175)</f>
        <v/>
      </c>
      <c r="D177" s="23" t="str">
        <f>IF('02_Base_Solicitudes'!A175="","",'02_Base_Solicitudes'!D175)</f>
        <v/>
      </c>
      <c r="E177" s="23" t="str">
        <f>IF('02_Base_Solicitudes'!A175="","",'02_Base_Solicitudes'!E175)</f>
        <v/>
      </c>
      <c r="F177" s="23" t="str">
        <f>IF('02_Base_Solicitudes'!A175="","",'02_Base_Solicitudes'!G175)</f>
        <v/>
      </c>
      <c r="G177" s="23" t="str">
        <f>IF('02_Base_Solicitudes'!A175="","",'02_Base_Solicitudes'!H175)</f>
        <v/>
      </c>
      <c r="H177" s="32" t="str">
        <f>IF('02_Base_Solicitudes'!A175="","",'02_Base_Solicitudes'!I175)</f>
        <v/>
      </c>
      <c r="I177" s="30" t="str">
        <f>IF('02_Base_Solicitudes'!A175="","",'02_Base_Solicitudes'!J175)</f>
        <v/>
      </c>
      <c r="J177" s="23" t="str">
        <f>IF('02_Base_Solicitudes'!A175="","",'02_Base_Solicitudes'!M175)</f>
        <v/>
      </c>
      <c r="K177" s="33" t="str">
        <f>IF('02_Base_Solicitudes'!A175="","",'02_Base_Solicitudes'!K175)</f>
        <v/>
      </c>
      <c r="L177" s="19" t="str">
        <f t="shared" si="42"/>
        <v/>
      </c>
      <c r="M177" s="19"/>
      <c r="N177" s="34" t="str">
        <f t="shared" si="43"/>
        <v/>
      </c>
      <c r="O177" s="19"/>
      <c r="P177" s="34"/>
      <c r="Q177" s="19"/>
      <c r="R177" s="34"/>
      <c r="S177" s="19"/>
      <c r="T177" s="19"/>
      <c r="U177" s="19"/>
      <c r="V177" s="19"/>
      <c r="W177" s="34" t="str">
        <f t="shared" si="44"/>
        <v/>
      </c>
      <c r="X177" s="19"/>
      <c r="Y177" s="34"/>
      <c r="Z177" s="19"/>
      <c r="AA177" s="34"/>
      <c r="AB177" s="34"/>
      <c r="AC177" s="34" t="str">
        <f t="shared" si="45"/>
        <v/>
      </c>
      <c r="AD177" s="19"/>
      <c r="AE177" s="19"/>
      <c r="AF177" s="34" t="str">
        <f>OTMaestraTable[[#This Row],[Solicitante]]</f>
        <v/>
      </c>
      <c r="AG177" s="19"/>
      <c r="AH177" s="19" t="str">
        <f t="shared" si="46"/>
        <v/>
      </c>
      <c r="AI177" s="30" t="str">
        <f t="shared" si="47"/>
        <v/>
      </c>
      <c r="AJ177" s="30" t="str">
        <f t="shared" si="48"/>
        <v/>
      </c>
      <c r="AK177" s="30" t="str">
        <f t="shared" si="49"/>
        <v/>
      </c>
      <c r="AL177" s="19"/>
    </row>
    <row r="178" spans="1:38">
      <c r="A178" s="23" t="str">
        <f>IF('02_Base_Solicitudes'!A176="","",'02_Base_Solicitudes'!R176)</f>
        <v/>
      </c>
      <c r="B178" s="30" t="str">
        <f>IF('02_Base_Solicitudes'!A176="","",'02_Base_Solicitudes'!A176)</f>
        <v/>
      </c>
      <c r="C178" s="23" t="str">
        <f>IF('02_Base_Solicitudes'!A176="","",'02_Base_Solicitudes'!C176)</f>
        <v/>
      </c>
      <c r="D178" s="23" t="str">
        <f>IF('02_Base_Solicitudes'!A176="","",'02_Base_Solicitudes'!D176)</f>
        <v/>
      </c>
      <c r="E178" s="23" t="str">
        <f>IF('02_Base_Solicitudes'!A176="","",'02_Base_Solicitudes'!E176)</f>
        <v/>
      </c>
      <c r="F178" s="23" t="str">
        <f>IF('02_Base_Solicitudes'!A176="","",'02_Base_Solicitudes'!G176)</f>
        <v/>
      </c>
      <c r="G178" s="23" t="str">
        <f>IF('02_Base_Solicitudes'!A176="","",'02_Base_Solicitudes'!H176)</f>
        <v/>
      </c>
      <c r="H178" s="32" t="str">
        <f>IF('02_Base_Solicitudes'!A176="","",'02_Base_Solicitudes'!I176)</f>
        <v/>
      </c>
      <c r="I178" s="30" t="str">
        <f>IF('02_Base_Solicitudes'!A176="","",'02_Base_Solicitudes'!J176)</f>
        <v/>
      </c>
      <c r="J178" s="23" t="str">
        <f>IF('02_Base_Solicitudes'!A176="","",'02_Base_Solicitudes'!M176)</f>
        <v/>
      </c>
      <c r="K178" s="33" t="str">
        <f>IF('02_Base_Solicitudes'!A176="","",'02_Base_Solicitudes'!K176)</f>
        <v/>
      </c>
      <c r="L178" s="19" t="str">
        <f t="shared" si="42"/>
        <v/>
      </c>
      <c r="M178" s="19"/>
      <c r="N178" s="34" t="str">
        <f t="shared" si="43"/>
        <v/>
      </c>
      <c r="O178" s="19"/>
      <c r="P178" s="34"/>
      <c r="Q178" s="19"/>
      <c r="R178" s="34"/>
      <c r="S178" s="19"/>
      <c r="T178" s="19"/>
      <c r="U178" s="19"/>
      <c r="V178" s="19"/>
      <c r="W178" s="34" t="str">
        <f t="shared" si="44"/>
        <v/>
      </c>
      <c r="X178" s="19"/>
      <c r="Y178" s="34"/>
      <c r="Z178" s="19"/>
      <c r="AA178" s="34"/>
      <c r="AB178" s="34"/>
      <c r="AC178" s="34" t="str">
        <f t="shared" si="45"/>
        <v/>
      </c>
      <c r="AD178" s="19"/>
      <c r="AE178" s="19"/>
      <c r="AF178" s="34" t="str">
        <f>OTMaestraTable[[#This Row],[Solicitante]]</f>
        <v/>
      </c>
      <c r="AG178" s="19"/>
      <c r="AH178" s="19" t="str">
        <f t="shared" si="46"/>
        <v/>
      </c>
      <c r="AI178" s="30" t="str">
        <f t="shared" si="47"/>
        <v/>
      </c>
      <c r="AJ178" s="30" t="str">
        <f t="shared" si="48"/>
        <v/>
      </c>
      <c r="AK178" s="30" t="str">
        <f t="shared" si="49"/>
        <v/>
      </c>
      <c r="AL178" s="19"/>
    </row>
    <row r="179" spans="1:38">
      <c r="A179" s="23" t="str">
        <f>IF('02_Base_Solicitudes'!A177="","",'02_Base_Solicitudes'!R177)</f>
        <v/>
      </c>
      <c r="B179" s="30" t="str">
        <f>IF('02_Base_Solicitudes'!A177="","",'02_Base_Solicitudes'!A177)</f>
        <v/>
      </c>
      <c r="C179" s="23" t="str">
        <f>IF('02_Base_Solicitudes'!A177="","",'02_Base_Solicitudes'!C177)</f>
        <v/>
      </c>
      <c r="D179" s="23" t="str">
        <f>IF('02_Base_Solicitudes'!A177="","",'02_Base_Solicitudes'!D177)</f>
        <v/>
      </c>
      <c r="E179" s="23" t="str">
        <f>IF('02_Base_Solicitudes'!A177="","",'02_Base_Solicitudes'!E177)</f>
        <v/>
      </c>
      <c r="F179" s="23" t="str">
        <f>IF('02_Base_Solicitudes'!A177="","",'02_Base_Solicitudes'!G177)</f>
        <v/>
      </c>
      <c r="G179" s="23" t="str">
        <f>IF('02_Base_Solicitudes'!A177="","",'02_Base_Solicitudes'!H177)</f>
        <v/>
      </c>
      <c r="H179" s="32" t="str">
        <f>IF('02_Base_Solicitudes'!A177="","",'02_Base_Solicitudes'!I177)</f>
        <v/>
      </c>
      <c r="I179" s="30" t="str">
        <f>IF('02_Base_Solicitudes'!A177="","",'02_Base_Solicitudes'!J177)</f>
        <v/>
      </c>
      <c r="J179" s="23" t="str">
        <f>IF('02_Base_Solicitudes'!A177="","",'02_Base_Solicitudes'!M177)</f>
        <v/>
      </c>
      <c r="K179" s="33" t="str">
        <f>IF('02_Base_Solicitudes'!A177="","",'02_Base_Solicitudes'!K177)</f>
        <v/>
      </c>
      <c r="L179" s="19" t="str">
        <f t="shared" si="42"/>
        <v/>
      </c>
      <c r="M179" s="19"/>
      <c r="N179" s="34" t="str">
        <f t="shared" si="43"/>
        <v/>
      </c>
      <c r="O179" s="19"/>
      <c r="P179" s="34"/>
      <c r="Q179" s="19"/>
      <c r="R179" s="34"/>
      <c r="S179" s="19"/>
      <c r="T179" s="19"/>
      <c r="U179" s="19"/>
      <c r="V179" s="19"/>
      <c r="W179" s="34" t="str">
        <f t="shared" si="44"/>
        <v/>
      </c>
      <c r="X179" s="19"/>
      <c r="Y179" s="34"/>
      <c r="Z179" s="19"/>
      <c r="AA179" s="34"/>
      <c r="AB179" s="34"/>
      <c r="AC179" s="34" t="str">
        <f t="shared" si="45"/>
        <v/>
      </c>
      <c r="AD179" s="19"/>
      <c r="AE179" s="19"/>
      <c r="AF179" s="34" t="str">
        <f>OTMaestraTable[[#This Row],[Solicitante]]</f>
        <v/>
      </c>
      <c r="AG179" s="19"/>
      <c r="AH179" s="19" t="str">
        <f t="shared" si="46"/>
        <v/>
      </c>
      <c r="AI179" s="30" t="str">
        <f t="shared" si="47"/>
        <v/>
      </c>
      <c r="AJ179" s="30" t="str">
        <f t="shared" si="48"/>
        <v/>
      </c>
      <c r="AK179" s="30" t="str">
        <f t="shared" si="49"/>
        <v/>
      </c>
      <c r="AL179" s="19"/>
    </row>
    <row r="180" spans="1:38">
      <c r="A180" s="23" t="str">
        <f>IF('02_Base_Solicitudes'!A178="","",'02_Base_Solicitudes'!R178)</f>
        <v/>
      </c>
      <c r="B180" s="30" t="str">
        <f>IF('02_Base_Solicitudes'!A178="","",'02_Base_Solicitudes'!A178)</f>
        <v/>
      </c>
      <c r="C180" s="23" t="str">
        <f>IF('02_Base_Solicitudes'!A178="","",'02_Base_Solicitudes'!C178)</f>
        <v/>
      </c>
      <c r="D180" s="23" t="str">
        <f>IF('02_Base_Solicitudes'!A178="","",'02_Base_Solicitudes'!D178)</f>
        <v/>
      </c>
      <c r="E180" s="23" t="str">
        <f>IF('02_Base_Solicitudes'!A178="","",'02_Base_Solicitudes'!E178)</f>
        <v/>
      </c>
      <c r="F180" s="23" t="str">
        <f>IF('02_Base_Solicitudes'!A178="","",'02_Base_Solicitudes'!G178)</f>
        <v/>
      </c>
      <c r="G180" s="23" t="str">
        <f>IF('02_Base_Solicitudes'!A178="","",'02_Base_Solicitudes'!H178)</f>
        <v/>
      </c>
      <c r="H180" s="32" t="str">
        <f>IF('02_Base_Solicitudes'!A178="","",'02_Base_Solicitudes'!I178)</f>
        <v/>
      </c>
      <c r="I180" s="30" t="str">
        <f>IF('02_Base_Solicitudes'!A178="","",'02_Base_Solicitudes'!J178)</f>
        <v/>
      </c>
      <c r="J180" s="23" t="str">
        <f>IF('02_Base_Solicitudes'!A178="","",'02_Base_Solicitudes'!M178)</f>
        <v/>
      </c>
      <c r="K180" s="33" t="str">
        <f>IF('02_Base_Solicitudes'!A178="","",'02_Base_Solicitudes'!K178)</f>
        <v/>
      </c>
      <c r="L180" s="19" t="str">
        <f t="shared" si="42"/>
        <v/>
      </c>
      <c r="M180" s="19"/>
      <c r="N180" s="34" t="str">
        <f t="shared" si="43"/>
        <v/>
      </c>
      <c r="O180" s="19"/>
      <c r="P180" s="34"/>
      <c r="Q180" s="19"/>
      <c r="R180" s="34"/>
      <c r="S180" s="19"/>
      <c r="T180" s="19"/>
      <c r="U180" s="19"/>
      <c r="V180" s="19"/>
      <c r="W180" s="34" t="str">
        <f t="shared" si="44"/>
        <v/>
      </c>
      <c r="X180" s="19"/>
      <c r="Y180" s="34"/>
      <c r="Z180" s="19"/>
      <c r="AA180" s="34"/>
      <c r="AB180" s="34"/>
      <c r="AC180" s="34" t="str">
        <f t="shared" si="45"/>
        <v/>
      </c>
      <c r="AD180" s="19"/>
      <c r="AE180" s="19"/>
      <c r="AF180" s="34" t="str">
        <f>OTMaestraTable[[#This Row],[Solicitante]]</f>
        <v/>
      </c>
      <c r="AG180" s="19"/>
      <c r="AH180" s="19" t="str">
        <f t="shared" si="46"/>
        <v/>
      </c>
      <c r="AI180" s="30" t="str">
        <f t="shared" si="47"/>
        <v/>
      </c>
      <c r="AJ180" s="30" t="str">
        <f t="shared" si="48"/>
        <v/>
      </c>
      <c r="AK180" s="30" t="str">
        <f t="shared" si="49"/>
        <v/>
      </c>
      <c r="AL180" s="19"/>
    </row>
    <row r="181" spans="1:38">
      <c r="A181" s="23" t="str">
        <f>IF('02_Base_Solicitudes'!A179="","",'02_Base_Solicitudes'!R179)</f>
        <v/>
      </c>
      <c r="B181" s="30" t="str">
        <f>IF('02_Base_Solicitudes'!A179="","",'02_Base_Solicitudes'!A179)</f>
        <v/>
      </c>
      <c r="C181" s="23" t="str">
        <f>IF('02_Base_Solicitudes'!A179="","",'02_Base_Solicitudes'!C179)</f>
        <v/>
      </c>
      <c r="D181" s="23" t="str">
        <f>IF('02_Base_Solicitudes'!A179="","",'02_Base_Solicitudes'!D179)</f>
        <v/>
      </c>
      <c r="E181" s="23" t="str">
        <f>IF('02_Base_Solicitudes'!A179="","",'02_Base_Solicitudes'!E179)</f>
        <v/>
      </c>
      <c r="F181" s="23" t="str">
        <f>IF('02_Base_Solicitudes'!A179="","",'02_Base_Solicitudes'!G179)</f>
        <v/>
      </c>
      <c r="G181" s="23" t="str">
        <f>IF('02_Base_Solicitudes'!A179="","",'02_Base_Solicitudes'!H179)</f>
        <v/>
      </c>
      <c r="H181" s="32" t="str">
        <f>IF('02_Base_Solicitudes'!A179="","",'02_Base_Solicitudes'!I179)</f>
        <v/>
      </c>
      <c r="I181" s="30" t="str">
        <f>IF('02_Base_Solicitudes'!A179="","",'02_Base_Solicitudes'!J179)</f>
        <v/>
      </c>
      <c r="J181" s="23" t="str">
        <f>IF('02_Base_Solicitudes'!A179="","",'02_Base_Solicitudes'!M179)</f>
        <v/>
      </c>
      <c r="K181" s="33" t="str">
        <f>IF('02_Base_Solicitudes'!A179="","",'02_Base_Solicitudes'!K179)</f>
        <v/>
      </c>
      <c r="L181" s="19" t="str">
        <f t="shared" si="42"/>
        <v/>
      </c>
      <c r="M181" s="19"/>
      <c r="N181" s="34" t="str">
        <f t="shared" si="43"/>
        <v/>
      </c>
      <c r="O181" s="19"/>
      <c r="P181" s="34"/>
      <c r="Q181" s="19"/>
      <c r="R181" s="34"/>
      <c r="S181" s="19"/>
      <c r="T181" s="19"/>
      <c r="U181" s="19"/>
      <c r="V181" s="19"/>
      <c r="W181" s="34" t="str">
        <f t="shared" si="44"/>
        <v/>
      </c>
      <c r="X181" s="19"/>
      <c r="Y181" s="34"/>
      <c r="Z181" s="19"/>
      <c r="AA181" s="34"/>
      <c r="AB181" s="34"/>
      <c r="AC181" s="34" t="str">
        <f t="shared" si="45"/>
        <v/>
      </c>
      <c r="AD181" s="19"/>
      <c r="AE181" s="19"/>
      <c r="AF181" s="34" t="str">
        <f>OTMaestraTable[[#This Row],[Solicitante]]</f>
        <v/>
      </c>
      <c r="AG181" s="19"/>
      <c r="AH181" s="19" t="str">
        <f t="shared" si="46"/>
        <v/>
      </c>
      <c r="AI181" s="30" t="str">
        <f t="shared" si="47"/>
        <v/>
      </c>
      <c r="AJ181" s="30" t="str">
        <f t="shared" si="48"/>
        <v/>
      </c>
      <c r="AK181" s="30" t="str">
        <f t="shared" si="49"/>
        <v/>
      </c>
      <c r="AL181" s="19"/>
    </row>
    <row r="182" spans="1:38">
      <c r="A182" s="23" t="str">
        <f>IF('02_Base_Solicitudes'!A180="","",'02_Base_Solicitudes'!R180)</f>
        <v/>
      </c>
      <c r="B182" s="30" t="str">
        <f>IF('02_Base_Solicitudes'!A180="","",'02_Base_Solicitudes'!A180)</f>
        <v/>
      </c>
      <c r="C182" s="23" t="str">
        <f>IF('02_Base_Solicitudes'!A180="","",'02_Base_Solicitudes'!C180)</f>
        <v/>
      </c>
      <c r="D182" s="23" t="str">
        <f>IF('02_Base_Solicitudes'!A180="","",'02_Base_Solicitudes'!D180)</f>
        <v/>
      </c>
      <c r="E182" s="23" t="str">
        <f>IF('02_Base_Solicitudes'!A180="","",'02_Base_Solicitudes'!E180)</f>
        <v/>
      </c>
      <c r="F182" s="23" t="str">
        <f>IF('02_Base_Solicitudes'!A180="","",'02_Base_Solicitudes'!G180)</f>
        <v/>
      </c>
      <c r="G182" s="23" t="str">
        <f>IF('02_Base_Solicitudes'!A180="","",'02_Base_Solicitudes'!H180)</f>
        <v/>
      </c>
      <c r="H182" s="32" t="str">
        <f>IF('02_Base_Solicitudes'!A180="","",'02_Base_Solicitudes'!I180)</f>
        <v/>
      </c>
      <c r="I182" s="30" t="str">
        <f>IF('02_Base_Solicitudes'!A180="","",'02_Base_Solicitudes'!J180)</f>
        <v/>
      </c>
      <c r="J182" s="23" t="str">
        <f>IF('02_Base_Solicitudes'!A180="","",'02_Base_Solicitudes'!M180)</f>
        <v/>
      </c>
      <c r="K182" s="33" t="str">
        <f>IF('02_Base_Solicitudes'!A180="","",'02_Base_Solicitudes'!K180)</f>
        <v/>
      </c>
      <c r="L182" s="19" t="str">
        <f t="shared" si="42"/>
        <v/>
      </c>
      <c r="M182" s="19"/>
      <c r="N182" s="34" t="str">
        <f t="shared" si="43"/>
        <v/>
      </c>
      <c r="O182" s="19"/>
      <c r="P182" s="34"/>
      <c r="Q182" s="19"/>
      <c r="R182" s="34"/>
      <c r="S182" s="19"/>
      <c r="T182" s="19"/>
      <c r="U182" s="19"/>
      <c r="V182" s="19"/>
      <c r="W182" s="34" t="str">
        <f t="shared" si="44"/>
        <v/>
      </c>
      <c r="X182" s="19"/>
      <c r="Y182" s="34"/>
      <c r="Z182" s="19"/>
      <c r="AA182" s="34"/>
      <c r="AB182" s="34"/>
      <c r="AC182" s="34" t="str">
        <f t="shared" si="45"/>
        <v/>
      </c>
      <c r="AD182" s="19"/>
      <c r="AE182" s="19"/>
      <c r="AF182" s="34" t="str">
        <f>OTMaestraTable[[#This Row],[Solicitante]]</f>
        <v/>
      </c>
      <c r="AG182" s="19"/>
      <c r="AH182" s="19" t="str">
        <f t="shared" si="46"/>
        <v/>
      </c>
      <c r="AI182" s="30" t="str">
        <f t="shared" si="47"/>
        <v/>
      </c>
      <c r="AJ182" s="30" t="str">
        <f t="shared" si="48"/>
        <v/>
      </c>
      <c r="AK182" s="30" t="str">
        <f t="shared" si="49"/>
        <v/>
      </c>
      <c r="AL182" s="19"/>
    </row>
    <row r="183" spans="1:38">
      <c r="A183" s="23" t="str">
        <f>IF('02_Base_Solicitudes'!A181="","",'02_Base_Solicitudes'!R181)</f>
        <v/>
      </c>
      <c r="B183" s="30" t="str">
        <f>IF('02_Base_Solicitudes'!A181="","",'02_Base_Solicitudes'!A181)</f>
        <v/>
      </c>
      <c r="C183" s="23" t="str">
        <f>IF('02_Base_Solicitudes'!A181="","",'02_Base_Solicitudes'!C181)</f>
        <v/>
      </c>
      <c r="D183" s="23" t="str">
        <f>IF('02_Base_Solicitudes'!A181="","",'02_Base_Solicitudes'!D181)</f>
        <v/>
      </c>
      <c r="E183" s="23" t="str">
        <f>IF('02_Base_Solicitudes'!A181="","",'02_Base_Solicitudes'!E181)</f>
        <v/>
      </c>
      <c r="F183" s="23" t="str">
        <f>IF('02_Base_Solicitudes'!A181="","",'02_Base_Solicitudes'!G181)</f>
        <v/>
      </c>
      <c r="G183" s="23" t="str">
        <f>IF('02_Base_Solicitudes'!A181="","",'02_Base_Solicitudes'!H181)</f>
        <v/>
      </c>
      <c r="H183" s="32" t="str">
        <f>IF('02_Base_Solicitudes'!A181="","",'02_Base_Solicitudes'!I181)</f>
        <v/>
      </c>
      <c r="I183" s="30" t="str">
        <f>IF('02_Base_Solicitudes'!A181="","",'02_Base_Solicitudes'!J181)</f>
        <v/>
      </c>
      <c r="J183" s="23" t="str">
        <f>IF('02_Base_Solicitudes'!A181="","",'02_Base_Solicitudes'!M181)</f>
        <v/>
      </c>
      <c r="K183" s="33" t="str">
        <f>IF('02_Base_Solicitudes'!A181="","",'02_Base_Solicitudes'!K181)</f>
        <v/>
      </c>
      <c r="L183" s="19" t="str">
        <f t="shared" si="42"/>
        <v/>
      </c>
      <c r="M183" s="19"/>
      <c r="N183" s="34" t="str">
        <f t="shared" si="43"/>
        <v/>
      </c>
      <c r="O183" s="19"/>
      <c r="P183" s="34"/>
      <c r="Q183" s="19"/>
      <c r="R183" s="34"/>
      <c r="S183" s="19"/>
      <c r="T183" s="19"/>
      <c r="U183" s="19"/>
      <c r="V183" s="19"/>
      <c r="W183" s="34" t="str">
        <f t="shared" si="44"/>
        <v/>
      </c>
      <c r="X183" s="19"/>
      <c r="Y183" s="34"/>
      <c r="Z183" s="19"/>
      <c r="AA183" s="34"/>
      <c r="AB183" s="34"/>
      <c r="AC183" s="34" t="str">
        <f t="shared" si="45"/>
        <v/>
      </c>
      <c r="AD183" s="19"/>
      <c r="AE183" s="19"/>
      <c r="AF183" s="34" t="str">
        <f>OTMaestraTable[[#This Row],[Solicitante]]</f>
        <v/>
      </c>
      <c r="AG183" s="19"/>
      <c r="AH183" s="19" t="str">
        <f t="shared" si="46"/>
        <v/>
      </c>
      <c r="AI183" s="30" t="str">
        <f t="shared" si="47"/>
        <v/>
      </c>
      <c r="AJ183" s="30" t="str">
        <f t="shared" si="48"/>
        <v/>
      </c>
      <c r="AK183" s="30" t="str">
        <f t="shared" si="49"/>
        <v/>
      </c>
      <c r="AL183" s="19"/>
    </row>
    <row r="184" spans="1:38">
      <c r="A184" s="23" t="str">
        <f>IF('02_Base_Solicitudes'!A182="","",'02_Base_Solicitudes'!R182)</f>
        <v/>
      </c>
      <c r="B184" s="30" t="str">
        <f>IF('02_Base_Solicitudes'!A182="","",'02_Base_Solicitudes'!A182)</f>
        <v/>
      </c>
      <c r="C184" s="23" t="str">
        <f>IF('02_Base_Solicitudes'!A182="","",'02_Base_Solicitudes'!C182)</f>
        <v/>
      </c>
      <c r="D184" s="23" t="str">
        <f>IF('02_Base_Solicitudes'!A182="","",'02_Base_Solicitudes'!D182)</f>
        <v/>
      </c>
      <c r="E184" s="23" t="str">
        <f>IF('02_Base_Solicitudes'!A182="","",'02_Base_Solicitudes'!E182)</f>
        <v/>
      </c>
      <c r="F184" s="23" t="str">
        <f>IF('02_Base_Solicitudes'!A182="","",'02_Base_Solicitudes'!G182)</f>
        <v/>
      </c>
      <c r="G184" s="23" t="str">
        <f>IF('02_Base_Solicitudes'!A182="","",'02_Base_Solicitudes'!H182)</f>
        <v/>
      </c>
      <c r="H184" s="32" t="str">
        <f>IF('02_Base_Solicitudes'!A182="","",'02_Base_Solicitudes'!I182)</f>
        <v/>
      </c>
      <c r="I184" s="30" t="str">
        <f>IF('02_Base_Solicitudes'!A182="","",'02_Base_Solicitudes'!J182)</f>
        <v/>
      </c>
      <c r="J184" s="23" t="str">
        <f>IF('02_Base_Solicitudes'!A182="","",'02_Base_Solicitudes'!M182)</f>
        <v/>
      </c>
      <c r="K184" s="33" t="str">
        <f>IF('02_Base_Solicitudes'!A182="","",'02_Base_Solicitudes'!K182)</f>
        <v/>
      </c>
      <c r="L184" s="19" t="str">
        <f t="shared" si="42"/>
        <v/>
      </c>
      <c r="M184" s="19"/>
      <c r="N184" s="34" t="str">
        <f t="shared" si="43"/>
        <v/>
      </c>
      <c r="O184" s="19"/>
      <c r="P184" s="34"/>
      <c r="Q184" s="19"/>
      <c r="R184" s="34"/>
      <c r="S184" s="19"/>
      <c r="T184" s="19"/>
      <c r="U184" s="19"/>
      <c r="V184" s="19"/>
      <c r="W184" s="34" t="str">
        <f t="shared" ref="W184:W203" si="50">IF($A184="","","Pendiente")</f>
        <v/>
      </c>
      <c r="X184" s="19"/>
      <c r="Y184" s="34"/>
      <c r="Z184" s="19"/>
      <c r="AA184" s="34"/>
      <c r="AB184" s="34"/>
      <c r="AC184" s="34" t="str">
        <f t="shared" si="45"/>
        <v/>
      </c>
      <c r="AD184" s="19"/>
      <c r="AE184" s="19"/>
      <c r="AF184" s="34" t="str">
        <f>OTMaestraTable[[#This Row],[Solicitante]]</f>
        <v/>
      </c>
      <c r="AG184" s="19"/>
      <c r="AH184" s="19" t="str">
        <f t="shared" si="46"/>
        <v/>
      </c>
      <c r="AI184" s="30" t="str">
        <f t="shared" si="47"/>
        <v/>
      </c>
      <c r="AJ184" s="30" t="str">
        <f t="shared" si="48"/>
        <v/>
      </c>
      <c r="AK184" s="30" t="str">
        <f t="shared" si="49"/>
        <v/>
      </c>
      <c r="AL184" s="19"/>
    </row>
    <row r="185" spans="1:38">
      <c r="A185" s="23" t="str">
        <f>IF('02_Base_Solicitudes'!A183="","",'02_Base_Solicitudes'!R183)</f>
        <v/>
      </c>
      <c r="B185" s="30" t="str">
        <f>IF('02_Base_Solicitudes'!A183="","",'02_Base_Solicitudes'!A183)</f>
        <v/>
      </c>
      <c r="C185" s="23" t="str">
        <f>IF('02_Base_Solicitudes'!A183="","",'02_Base_Solicitudes'!C183)</f>
        <v/>
      </c>
      <c r="D185" s="23" t="str">
        <f>IF('02_Base_Solicitudes'!A183="","",'02_Base_Solicitudes'!D183)</f>
        <v/>
      </c>
      <c r="E185" s="23" t="str">
        <f>IF('02_Base_Solicitudes'!A183="","",'02_Base_Solicitudes'!E183)</f>
        <v/>
      </c>
      <c r="F185" s="23" t="str">
        <f>IF('02_Base_Solicitudes'!A183="","",'02_Base_Solicitudes'!G183)</f>
        <v/>
      </c>
      <c r="G185" s="23" t="str">
        <f>IF('02_Base_Solicitudes'!A183="","",'02_Base_Solicitudes'!H183)</f>
        <v/>
      </c>
      <c r="H185" s="32" t="str">
        <f>IF('02_Base_Solicitudes'!A183="","",'02_Base_Solicitudes'!I183)</f>
        <v/>
      </c>
      <c r="I185" s="30" t="str">
        <f>IF('02_Base_Solicitudes'!A183="","",'02_Base_Solicitudes'!J183)</f>
        <v/>
      </c>
      <c r="J185" s="23" t="str">
        <f>IF('02_Base_Solicitudes'!A183="","",'02_Base_Solicitudes'!M183)</f>
        <v/>
      </c>
      <c r="K185" s="33" t="str">
        <f>IF('02_Base_Solicitudes'!A183="","",'02_Base_Solicitudes'!K183)</f>
        <v/>
      </c>
      <c r="L185" s="19" t="str">
        <f t="shared" si="42"/>
        <v/>
      </c>
      <c r="M185" s="19"/>
      <c r="N185" s="34" t="str">
        <f t="shared" si="43"/>
        <v/>
      </c>
      <c r="O185" s="19"/>
      <c r="P185" s="34"/>
      <c r="Q185" s="19"/>
      <c r="R185" s="34"/>
      <c r="S185" s="19"/>
      <c r="T185" s="19"/>
      <c r="U185" s="19"/>
      <c r="V185" s="19"/>
      <c r="W185" s="34" t="str">
        <f t="shared" si="50"/>
        <v/>
      </c>
      <c r="X185" s="19"/>
      <c r="Y185" s="34"/>
      <c r="Z185" s="19"/>
      <c r="AA185" s="34"/>
      <c r="AB185" s="34"/>
      <c r="AC185" s="34" t="str">
        <f t="shared" si="45"/>
        <v/>
      </c>
      <c r="AD185" s="19"/>
      <c r="AE185" s="19"/>
      <c r="AF185" s="34" t="str">
        <f>OTMaestraTable[[#This Row],[Solicitante]]</f>
        <v/>
      </c>
      <c r="AG185" s="19"/>
      <c r="AH185" s="19" t="str">
        <f t="shared" si="46"/>
        <v/>
      </c>
      <c r="AI185" s="30" t="str">
        <f t="shared" si="47"/>
        <v/>
      </c>
      <c r="AJ185" s="30" t="str">
        <f t="shared" si="48"/>
        <v/>
      </c>
      <c r="AK185" s="30" t="str">
        <f t="shared" si="49"/>
        <v/>
      </c>
      <c r="AL185" s="19"/>
    </row>
    <row r="186" spans="1:38">
      <c r="A186" s="23" t="str">
        <f>IF('02_Base_Solicitudes'!A184="","",'02_Base_Solicitudes'!R184)</f>
        <v/>
      </c>
      <c r="B186" s="30" t="str">
        <f>IF('02_Base_Solicitudes'!A184="","",'02_Base_Solicitudes'!A184)</f>
        <v/>
      </c>
      <c r="C186" s="23" t="str">
        <f>IF('02_Base_Solicitudes'!A184="","",'02_Base_Solicitudes'!C184)</f>
        <v/>
      </c>
      <c r="D186" s="23" t="str">
        <f>IF('02_Base_Solicitudes'!A184="","",'02_Base_Solicitudes'!D184)</f>
        <v/>
      </c>
      <c r="E186" s="23" t="str">
        <f>IF('02_Base_Solicitudes'!A184="","",'02_Base_Solicitudes'!E184)</f>
        <v/>
      </c>
      <c r="F186" s="23" t="str">
        <f>IF('02_Base_Solicitudes'!A184="","",'02_Base_Solicitudes'!G184)</f>
        <v/>
      </c>
      <c r="G186" s="23" t="str">
        <f>IF('02_Base_Solicitudes'!A184="","",'02_Base_Solicitudes'!H184)</f>
        <v/>
      </c>
      <c r="H186" s="32" t="str">
        <f>IF('02_Base_Solicitudes'!A184="","",'02_Base_Solicitudes'!I184)</f>
        <v/>
      </c>
      <c r="I186" s="30" t="str">
        <f>IF('02_Base_Solicitudes'!A184="","",'02_Base_Solicitudes'!J184)</f>
        <v/>
      </c>
      <c r="J186" s="23" t="str">
        <f>IF('02_Base_Solicitudes'!A184="","",'02_Base_Solicitudes'!M184)</f>
        <v/>
      </c>
      <c r="K186" s="33" t="str">
        <f>IF('02_Base_Solicitudes'!A184="","",'02_Base_Solicitudes'!K184)</f>
        <v/>
      </c>
      <c r="L186" s="19" t="str">
        <f t="shared" si="42"/>
        <v/>
      </c>
      <c r="M186" s="19"/>
      <c r="N186" s="34" t="str">
        <f t="shared" si="43"/>
        <v/>
      </c>
      <c r="O186" s="19"/>
      <c r="P186" s="34"/>
      <c r="Q186" s="19"/>
      <c r="R186" s="34"/>
      <c r="S186" s="19"/>
      <c r="T186" s="19"/>
      <c r="U186" s="19"/>
      <c r="V186" s="19"/>
      <c r="W186" s="34" t="str">
        <f t="shared" si="50"/>
        <v/>
      </c>
      <c r="X186" s="19"/>
      <c r="Y186" s="34"/>
      <c r="Z186" s="19"/>
      <c r="AA186" s="34"/>
      <c r="AB186" s="34"/>
      <c r="AC186" s="34" t="str">
        <f t="shared" si="45"/>
        <v/>
      </c>
      <c r="AD186" s="19"/>
      <c r="AE186" s="19"/>
      <c r="AF186" s="34" t="str">
        <f>OTMaestraTable[[#This Row],[Solicitante]]</f>
        <v/>
      </c>
      <c r="AG186" s="19"/>
      <c r="AH186" s="19" t="str">
        <f t="shared" si="46"/>
        <v/>
      </c>
      <c r="AI186" s="30" t="str">
        <f t="shared" si="47"/>
        <v/>
      </c>
      <c r="AJ186" s="30" t="str">
        <f t="shared" si="48"/>
        <v/>
      </c>
      <c r="AK186" s="30" t="str">
        <f t="shared" si="49"/>
        <v/>
      </c>
      <c r="AL186" s="19"/>
    </row>
    <row r="187" spans="1:38">
      <c r="A187" s="23" t="str">
        <f>IF('02_Base_Solicitudes'!A185="","",'02_Base_Solicitudes'!R185)</f>
        <v/>
      </c>
      <c r="B187" s="30" t="str">
        <f>IF('02_Base_Solicitudes'!A185="","",'02_Base_Solicitudes'!A185)</f>
        <v/>
      </c>
      <c r="C187" s="23" t="str">
        <f>IF('02_Base_Solicitudes'!A185="","",'02_Base_Solicitudes'!C185)</f>
        <v/>
      </c>
      <c r="D187" s="23" t="str">
        <f>IF('02_Base_Solicitudes'!A185="","",'02_Base_Solicitudes'!D185)</f>
        <v/>
      </c>
      <c r="E187" s="23" t="str">
        <f>IF('02_Base_Solicitudes'!A185="","",'02_Base_Solicitudes'!E185)</f>
        <v/>
      </c>
      <c r="F187" s="23" t="str">
        <f>IF('02_Base_Solicitudes'!A185="","",'02_Base_Solicitudes'!G185)</f>
        <v/>
      </c>
      <c r="G187" s="23" t="str">
        <f>IF('02_Base_Solicitudes'!A185="","",'02_Base_Solicitudes'!H185)</f>
        <v/>
      </c>
      <c r="H187" s="32" t="str">
        <f>IF('02_Base_Solicitudes'!A185="","",'02_Base_Solicitudes'!I185)</f>
        <v/>
      </c>
      <c r="I187" s="30" t="str">
        <f>IF('02_Base_Solicitudes'!A185="","",'02_Base_Solicitudes'!J185)</f>
        <v/>
      </c>
      <c r="J187" s="23" t="str">
        <f>IF('02_Base_Solicitudes'!A185="","",'02_Base_Solicitudes'!M185)</f>
        <v/>
      </c>
      <c r="K187" s="33" t="str">
        <f>IF('02_Base_Solicitudes'!A185="","",'02_Base_Solicitudes'!K185)</f>
        <v/>
      </c>
      <c r="L187" s="19" t="str">
        <f t="shared" si="42"/>
        <v/>
      </c>
      <c r="M187" s="19"/>
      <c r="N187" s="34" t="str">
        <f t="shared" si="43"/>
        <v/>
      </c>
      <c r="O187" s="19"/>
      <c r="P187" s="34"/>
      <c r="Q187" s="19"/>
      <c r="R187" s="34"/>
      <c r="S187" s="19"/>
      <c r="T187" s="19"/>
      <c r="U187" s="19"/>
      <c r="V187" s="19"/>
      <c r="W187" s="34" t="str">
        <f t="shared" si="50"/>
        <v/>
      </c>
      <c r="X187" s="19"/>
      <c r="Y187" s="34"/>
      <c r="Z187" s="19"/>
      <c r="AA187" s="34"/>
      <c r="AB187" s="34"/>
      <c r="AC187" s="34" t="str">
        <f t="shared" si="45"/>
        <v/>
      </c>
      <c r="AD187" s="19"/>
      <c r="AE187" s="19"/>
      <c r="AF187" s="34" t="str">
        <f>OTMaestraTable[[#This Row],[Solicitante]]</f>
        <v/>
      </c>
      <c r="AG187" s="19"/>
      <c r="AH187" s="19" t="str">
        <f t="shared" si="46"/>
        <v/>
      </c>
      <c r="AI187" s="30" t="str">
        <f t="shared" si="47"/>
        <v/>
      </c>
      <c r="AJ187" s="30" t="str">
        <f t="shared" si="48"/>
        <v/>
      </c>
      <c r="AK187" s="30" t="str">
        <f t="shared" si="49"/>
        <v/>
      </c>
      <c r="AL187" s="19"/>
    </row>
    <row r="188" spans="1:38">
      <c r="A188" s="23" t="str">
        <f>IF('02_Base_Solicitudes'!A186="","",'02_Base_Solicitudes'!R186)</f>
        <v/>
      </c>
      <c r="B188" s="30" t="str">
        <f>IF('02_Base_Solicitudes'!A186="","",'02_Base_Solicitudes'!A186)</f>
        <v/>
      </c>
      <c r="C188" s="23" t="str">
        <f>IF('02_Base_Solicitudes'!A186="","",'02_Base_Solicitudes'!C186)</f>
        <v/>
      </c>
      <c r="D188" s="23" t="str">
        <f>IF('02_Base_Solicitudes'!A186="","",'02_Base_Solicitudes'!D186)</f>
        <v/>
      </c>
      <c r="E188" s="23" t="str">
        <f>IF('02_Base_Solicitudes'!A186="","",'02_Base_Solicitudes'!E186)</f>
        <v/>
      </c>
      <c r="F188" s="23" t="str">
        <f>IF('02_Base_Solicitudes'!A186="","",'02_Base_Solicitudes'!G186)</f>
        <v/>
      </c>
      <c r="G188" s="23" t="str">
        <f>IF('02_Base_Solicitudes'!A186="","",'02_Base_Solicitudes'!H186)</f>
        <v/>
      </c>
      <c r="H188" s="32" t="str">
        <f>IF('02_Base_Solicitudes'!A186="","",'02_Base_Solicitudes'!I186)</f>
        <v/>
      </c>
      <c r="I188" s="30" t="str">
        <f>IF('02_Base_Solicitudes'!A186="","",'02_Base_Solicitudes'!J186)</f>
        <v/>
      </c>
      <c r="J188" s="23" t="str">
        <f>IF('02_Base_Solicitudes'!A186="","",'02_Base_Solicitudes'!M186)</f>
        <v/>
      </c>
      <c r="K188" s="33" t="str">
        <f>IF('02_Base_Solicitudes'!A186="","",'02_Base_Solicitudes'!K186)</f>
        <v/>
      </c>
      <c r="L188" s="19" t="str">
        <f t="shared" si="42"/>
        <v/>
      </c>
      <c r="M188" s="19"/>
      <c r="N188" s="34" t="str">
        <f t="shared" si="43"/>
        <v/>
      </c>
      <c r="O188" s="19"/>
      <c r="P188" s="34"/>
      <c r="Q188" s="19"/>
      <c r="R188" s="34"/>
      <c r="S188" s="19"/>
      <c r="T188" s="19"/>
      <c r="U188" s="19"/>
      <c r="V188" s="19"/>
      <c r="W188" s="34" t="str">
        <f t="shared" si="50"/>
        <v/>
      </c>
      <c r="X188" s="19"/>
      <c r="Y188" s="34"/>
      <c r="Z188" s="19"/>
      <c r="AA188" s="34"/>
      <c r="AB188" s="34"/>
      <c r="AC188" s="34" t="str">
        <f t="shared" si="45"/>
        <v/>
      </c>
      <c r="AD188" s="19"/>
      <c r="AE188" s="19"/>
      <c r="AF188" s="34" t="str">
        <f>OTMaestraTable[[#This Row],[Solicitante]]</f>
        <v/>
      </c>
      <c r="AG188" s="19"/>
      <c r="AH188" s="19" t="str">
        <f t="shared" si="46"/>
        <v/>
      </c>
      <c r="AI188" s="30" t="str">
        <f t="shared" si="47"/>
        <v/>
      </c>
      <c r="AJ188" s="30" t="str">
        <f t="shared" si="48"/>
        <v/>
      </c>
      <c r="AK188" s="30" t="str">
        <f t="shared" si="49"/>
        <v/>
      </c>
      <c r="AL188" s="19"/>
    </row>
    <row r="189" spans="1:38">
      <c r="A189" s="23" t="str">
        <f>IF('02_Base_Solicitudes'!A187="","",'02_Base_Solicitudes'!R187)</f>
        <v/>
      </c>
      <c r="B189" s="30" t="str">
        <f>IF('02_Base_Solicitudes'!A187="","",'02_Base_Solicitudes'!A187)</f>
        <v/>
      </c>
      <c r="C189" s="23" t="str">
        <f>IF('02_Base_Solicitudes'!A187="","",'02_Base_Solicitudes'!C187)</f>
        <v/>
      </c>
      <c r="D189" s="23" t="str">
        <f>IF('02_Base_Solicitudes'!A187="","",'02_Base_Solicitudes'!D187)</f>
        <v/>
      </c>
      <c r="E189" s="23" t="str">
        <f>IF('02_Base_Solicitudes'!A187="","",'02_Base_Solicitudes'!E187)</f>
        <v/>
      </c>
      <c r="F189" s="23" t="str">
        <f>IF('02_Base_Solicitudes'!A187="","",'02_Base_Solicitudes'!G187)</f>
        <v/>
      </c>
      <c r="G189" s="23" t="str">
        <f>IF('02_Base_Solicitudes'!A187="","",'02_Base_Solicitudes'!H187)</f>
        <v/>
      </c>
      <c r="H189" s="32" t="str">
        <f>IF('02_Base_Solicitudes'!A187="","",'02_Base_Solicitudes'!I187)</f>
        <v/>
      </c>
      <c r="I189" s="30" t="str">
        <f>IF('02_Base_Solicitudes'!A187="","",'02_Base_Solicitudes'!J187)</f>
        <v/>
      </c>
      <c r="J189" s="23" t="str">
        <f>IF('02_Base_Solicitudes'!A187="","",'02_Base_Solicitudes'!M187)</f>
        <v/>
      </c>
      <c r="K189" s="33" t="str">
        <f>IF('02_Base_Solicitudes'!A187="","",'02_Base_Solicitudes'!K187)</f>
        <v/>
      </c>
      <c r="L189" s="19" t="str">
        <f t="shared" si="42"/>
        <v/>
      </c>
      <c r="M189" s="19"/>
      <c r="N189" s="34" t="str">
        <f t="shared" si="43"/>
        <v/>
      </c>
      <c r="O189" s="19"/>
      <c r="P189" s="34"/>
      <c r="Q189" s="19"/>
      <c r="R189" s="34"/>
      <c r="S189" s="19"/>
      <c r="T189" s="19"/>
      <c r="U189" s="19"/>
      <c r="V189" s="19"/>
      <c r="W189" s="34" t="str">
        <f t="shared" si="50"/>
        <v/>
      </c>
      <c r="X189" s="19"/>
      <c r="Y189" s="34"/>
      <c r="Z189" s="19"/>
      <c r="AA189" s="34"/>
      <c r="AB189" s="34"/>
      <c r="AC189" s="34" t="str">
        <f t="shared" si="45"/>
        <v/>
      </c>
      <c r="AD189" s="19"/>
      <c r="AE189" s="19"/>
      <c r="AF189" s="34" t="str">
        <f>OTMaestraTable[[#This Row],[Solicitante]]</f>
        <v/>
      </c>
      <c r="AG189" s="19"/>
      <c r="AH189" s="19" t="str">
        <f t="shared" si="46"/>
        <v/>
      </c>
      <c r="AI189" s="30" t="str">
        <f t="shared" si="47"/>
        <v/>
      </c>
      <c r="AJ189" s="30" t="str">
        <f t="shared" si="48"/>
        <v/>
      </c>
      <c r="AK189" s="30" t="str">
        <f t="shared" si="49"/>
        <v/>
      </c>
      <c r="AL189" s="19"/>
    </row>
    <row r="190" spans="1:38">
      <c r="A190" s="23" t="str">
        <f>IF('02_Base_Solicitudes'!A188="","",'02_Base_Solicitudes'!R188)</f>
        <v/>
      </c>
      <c r="B190" s="30" t="str">
        <f>IF('02_Base_Solicitudes'!A188="","",'02_Base_Solicitudes'!A188)</f>
        <v/>
      </c>
      <c r="C190" s="23" t="str">
        <f>IF('02_Base_Solicitudes'!A188="","",'02_Base_Solicitudes'!C188)</f>
        <v/>
      </c>
      <c r="D190" s="23" t="str">
        <f>IF('02_Base_Solicitudes'!A188="","",'02_Base_Solicitudes'!D188)</f>
        <v/>
      </c>
      <c r="E190" s="23" t="str">
        <f>IF('02_Base_Solicitudes'!A188="","",'02_Base_Solicitudes'!E188)</f>
        <v/>
      </c>
      <c r="F190" s="23" t="str">
        <f>IF('02_Base_Solicitudes'!A188="","",'02_Base_Solicitudes'!G188)</f>
        <v/>
      </c>
      <c r="G190" s="23" t="str">
        <f>IF('02_Base_Solicitudes'!A188="","",'02_Base_Solicitudes'!H188)</f>
        <v/>
      </c>
      <c r="H190" s="32" t="str">
        <f>IF('02_Base_Solicitudes'!A188="","",'02_Base_Solicitudes'!I188)</f>
        <v/>
      </c>
      <c r="I190" s="30" t="str">
        <f>IF('02_Base_Solicitudes'!A188="","",'02_Base_Solicitudes'!J188)</f>
        <v/>
      </c>
      <c r="J190" s="23" t="str">
        <f>IF('02_Base_Solicitudes'!A188="","",'02_Base_Solicitudes'!M188)</f>
        <v/>
      </c>
      <c r="K190" s="33" t="str">
        <f>IF('02_Base_Solicitudes'!A188="","",'02_Base_Solicitudes'!K188)</f>
        <v/>
      </c>
      <c r="L190" s="19" t="str">
        <f t="shared" si="42"/>
        <v/>
      </c>
      <c r="M190" s="19"/>
      <c r="N190" s="34" t="str">
        <f t="shared" si="43"/>
        <v/>
      </c>
      <c r="O190" s="19"/>
      <c r="P190" s="34"/>
      <c r="Q190" s="19"/>
      <c r="R190" s="34"/>
      <c r="S190" s="19"/>
      <c r="T190" s="19"/>
      <c r="U190" s="19"/>
      <c r="V190" s="19"/>
      <c r="W190" s="34" t="str">
        <f t="shared" si="50"/>
        <v/>
      </c>
      <c r="X190" s="19"/>
      <c r="Y190" s="34"/>
      <c r="Z190" s="19"/>
      <c r="AA190" s="34"/>
      <c r="AB190" s="34"/>
      <c r="AC190" s="34" t="str">
        <f t="shared" si="45"/>
        <v/>
      </c>
      <c r="AD190" s="19"/>
      <c r="AE190" s="19"/>
      <c r="AF190" s="34" t="str">
        <f>OTMaestraTable[[#This Row],[Solicitante]]</f>
        <v/>
      </c>
      <c r="AG190" s="19"/>
      <c r="AH190" s="19" t="str">
        <f t="shared" si="46"/>
        <v/>
      </c>
      <c r="AI190" s="30" t="str">
        <f t="shared" si="47"/>
        <v/>
      </c>
      <c r="AJ190" s="30" t="str">
        <f t="shared" si="48"/>
        <v/>
      </c>
      <c r="AK190" s="30" t="str">
        <f t="shared" si="49"/>
        <v/>
      </c>
      <c r="AL190" s="19"/>
    </row>
    <row r="191" spans="1:38">
      <c r="A191" s="23" t="str">
        <f>IF('02_Base_Solicitudes'!A189="","",'02_Base_Solicitudes'!R189)</f>
        <v/>
      </c>
      <c r="B191" s="30" t="str">
        <f>IF('02_Base_Solicitudes'!A189="","",'02_Base_Solicitudes'!A189)</f>
        <v/>
      </c>
      <c r="C191" s="23" t="str">
        <f>IF('02_Base_Solicitudes'!A189="","",'02_Base_Solicitudes'!C189)</f>
        <v/>
      </c>
      <c r="D191" s="23" t="str">
        <f>IF('02_Base_Solicitudes'!A189="","",'02_Base_Solicitudes'!D189)</f>
        <v/>
      </c>
      <c r="E191" s="23" t="str">
        <f>IF('02_Base_Solicitudes'!A189="","",'02_Base_Solicitudes'!E189)</f>
        <v/>
      </c>
      <c r="F191" s="23" t="str">
        <f>IF('02_Base_Solicitudes'!A189="","",'02_Base_Solicitudes'!G189)</f>
        <v/>
      </c>
      <c r="G191" s="23" t="str">
        <f>IF('02_Base_Solicitudes'!A189="","",'02_Base_Solicitudes'!H189)</f>
        <v/>
      </c>
      <c r="H191" s="32" t="str">
        <f>IF('02_Base_Solicitudes'!A189="","",'02_Base_Solicitudes'!I189)</f>
        <v/>
      </c>
      <c r="I191" s="30" t="str">
        <f>IF('02_Base_Solicitudes'!A189="","",'02_Base_Solicitudes'!J189)</f>
        <v/>
      </c>
      <c r="J191" s="23" t="str">
        <f>IF('02_Base_Solicitudes'!A189="","",'02_Base_Solicitudes'!M189)</f>
        <v/>
      </c>
      <c r="K191" s="33" t="str">
        <f>IF('02_Base_Solicitudes'!A189="","",'02_Base_Solicitudes'!K189)</f>
        <v/>
      </c>
      <c r="L191" s="19" t="str">
        <f t="shared" si="42"/>
        <v/>
      </c>
      <c r="M191" s="19"/>
      <c r="N191" s="34" t="str">
        <f t="shared" si="43"/>
        <v/>
      </c>
      <c r="O191" s="19"/>
      <c r="P191" s="34"/>
      <c r="Q191" s="19"/>
      <c r="R191" s="34"/>
      <c r="S191" s="19"/>
      <c r="T191" s="19"/>
      <c r="U191" s="19"/>
      <c r="V191" s="19"/>
      <c r="W191" s="34" t="str">
        <f t="shared" si="50"/>
        <v/>
      </c>
      <c r="X191" s="19"/>
      <c r="Y191" s="34"/>
      <c r="Z191" s="19"/>
      <c r="AA191" s="34"/>
      <c r="AB191" s="34"/>
      <c r="AC191" s="34" t="str">
        <f t="shared" si="45"/>
        <v/>
      </c>
      <c r="AD191" s="19"/>
      <c r="AE191" s="19"/>
      <c r="AF191" s="34" t="str">
        <f>OTMaestraTable[[#This Row],[Solicitante]]</f>
        <v/>
      </c>
      <c r="AG191" s="19"/>
      <c r="AH191" s="19" t="str">
        <f t="shared" si="46"/>
        <v/>
      </c>
      <c r="AI191" s="30" t="str">
        <f t="shared" si="47"/>
        <v/>
      </c>
      <c r="AJ191" s="30" t="str">
        <f t="shared" si="48"/>
        <v/>
      </c>
      <c r="AK191" s="30" t="str">
        <f t="shared" si="49"/>
        <v/>
      </c>
      <c r="AL191" s="19"/>
    </row>
    <row r="192" spans="1:38">
      <c r="A192" s="23" t="str">
        <f>IF('02_Base_Solicitudes'!A190="","",'02_Base_Solicitudes'!R190)</f>
        <v/>
      </c>
      <c r="B192" s="30" t="str">
        <f>IF('02_Base_Solicitudes'!A190="","",'02_Base_Solicitudes'!A190)</f>
        <v/>
      </c>
      <c r="C192" s="23" t="str">
        <f>IF('02_Base_Solicitudes'!A190="","",'02_Base_Solicitudes'!C190)</f>
        <v/>
      </c>
      <c r="D192" s="23" t="str">
        <f>IF('02_Base_Solicitudes'!A190="","",'02_Base_Solicitudes'!D190)</f>
        <v/>
      </c>
      <c r="E192" s="23" t="str">
        <f>IF('02_Base_Solicitudes'!A190="","",'02_Base_Solicitudes'!E190)</f>
        <v/>
      </c>
      <c r="F192" s="23" t="str">
        <f>IF('02_Base_Solicitudes'!A190="","",'02_Base_Solicitudes'!G190)</f>
        <v/>
      </c>
      <c r="G192" s="23" t="str">
        <f>IF('02_Base_Solicitudes'!A190="","",'02_Base_Solicitudes'!H190)</f>
        <v/>
      </c>
      <c r="H192" s="32" t="str">
        <f>IF('02_Base_Solicitudes'!A190="","",'02_Base_Solicitudes'!I190)</f>
        <v/>
      </c>
      <c r="I192" s="30" t="str">
        <f>IF('02_Base_Solicitudes'!A190="","",'02_Base_Solicitudes'!J190)</f>
        <v/>
      </c>
      <c r="J192" s="23" t="str">
        <f>IF('02_Base_Solicitudes'!A190="","",'02_Base_Solicitudes'!M190)</f>
        <v/>
      </c>
      <c r="K192" s="33" t="str">
        <f>IF('02_Base_Solicitudes'!A190="","",'02_Base_Solicitudes'!K190)</f>
        <v/>
      </c>
      <c r="L192" s="19" t="str">
        <f t="shared" si="42"/>
        <v/>
      </c>
      <c r="M192" s="19"/>
      <c r="N192" s="34" t="str">
        <f t="shared" si="43"/>
        <v/>
      </c>
      <c r="O192" s="19"/>
      <c r="P192" s="34"/>
      <c r="Q192" s="19"/>
      <c r="R192" s="34"/>
      <c r="S192" s="19"/>
      <c r="T192" s="19"/>
      <c r="U192" s="19"/>
      <c r="V192" s="19"/>
      <c r="W192" s="34" t="str">
        <f t="shared" si="50"/>
        <v/>
      </c>
      <c r="X192" s="19"/>
      <c r="Y192" s="34"/>
      <c r="Z192" s="19"/>
      <c r="AA192" s="34"/>
      <c r="AB192" s="34"/>
      <c r="AC192" s="34" t="str">
        <f t="shared" si="45"/>
        <v/>
      </c>
      <c r="AD192" s="19"/>
      <c r="AE192" s="19"/>
      <c r="AF192" s="34" t="str">
        <f>OTMaestraTable[[#This Row],[Solicitante]]</f>
        <v/>
      </c>
      <c r="AG192" s="19"/>
      <c r="AH192" s="19" t="str">
        <f t="shared" si="46"/>
        <v/>
      </c>
      <c r="AI192" s="30" t="str">
        <f t="shared" si="47"/>
        <v/>
      </c>
      <c r="AJ192" s="30" t="str">
        <f t="shared" si="48"/>
        <v/>
      </c>
      <c r="AK192" s="30" t="str">
        <f t="shared" si="49"/>
        <v/>
      </c>
      <c r="AL192" s="19"/>
    </row>
    <row r="193" spans="1:38">
      <c r="A193" s="23" t="str">
        <f>IF('02_Base_Solicitudes'!A191="","",'02_Base_Solicitudes'!R191)</f>
        <v/>
      </c>
      <c r="B193" s="30" t="str">
        <f>IF('02_Base_Solicitudes'!A191="","",'02_Base_Solicitudes'!A191)</f>
        <v/>
      </c>
      <c r="C193" s="23" t="str">
        <f>IF('02_Base_Solicitudes'!A191="","",'02_Base_Solicitudes'!C191)</f>
        <v/>
      </c>
      <c r="D193" s="23" t="str">
        <f>IF('02_Base_Solicitudes'!A191="","",'02_Base_Solicitudes'!D191)</f>
        <v/>
      </c>
      <c r="E193" s="23" t="str">
        <f>IF('02_Base_Solicitudes'!A191="","",'02_Base_Solicitudes'!E191)</f>
        <v/>
      </c>
      <c r="F193" s="23" t="str">
        <f>IF('02_Base_Solicitudes'!A191="","",'02_Base_Solicitudes'!G191)</f>
        <v/>
      </c>
      <c r="G193" s="23" t="str">
        <f>IF('02_Base_Solicitudes'!A191="","",'02_Base_Solicitudes'!H191)</f>
        <v/>
      </c>
      <c r="H193" s="32" t="str">
        <f>IF('02_Base_Solicitudes'!A191="","",'02_Base_Solicitudes'!I191)</f>
        <v/>
      </c>
      <c r="I193" s="30" t="str">
        <f>IF('02_Base_Solicitudes'!A191="","",'02_Base_Solicitudes'!J191)</f>
        <v/>
      </c>
      <c r="J193" s="23" t="str">
        <f>IF('02_Base_Solicitudes'!A191="","",'02_Base_Solicitudes'!M191)</f>
        <v/>
      </c>
      <c r="K193" s="33" t="str">
        <f>IF('02_Base_Solicitudes'!A191="","",'02_Base_Solicitudes'!K191)</f>
        <v/>
      </c>
      <c r="L193" s="19" t="str">
        <f t="shared" si="42"/>
        <v/>
      </c>
      <c r="M193" s="19"/>
      <c r="N193" s="34" t="str">
        <f t="shared" si="43"/>
        <v/>
      </c>
      <c r="O193" s="19"/>
      <c r="P193" s="34"/>
      <c r="Q193" s="19"/>
      <c r="R193" s="34"/>
      <c r="S193" s="19"/>
      <c r="T193" s="19"/>
      <c r="U193" s="19"/>
      <c r="V193" s="19"/>
      <c r="W193" s="34" t="str">
        <f t="shared" si="50"/>
        <v/>
      </c>
      <c r="X193" s="19"/>
      <c r="Y193" s="34"/>
      <c r="Z193" s="19"/>
      <c r="AA193" s="34"/>
      <c r="AB193" s="34"/>
      <c r="AC193" s="34" t="str">
        <f t="shared" si="45"/>
        <v/>
      </c>
      <c r="AD193" s="19"/>
      <c r="AE193" s="19"/>
      <c r="AF193" s="34" t="str">
        <f>OTMaestraTable[[#This Row],[Solicitante]]</f>
        <v/>
      </c>
      <c r="AG193" s="19"/>
      <c r="AH193" s="19" t="str">
        <f t="shared" si="46"/>
        <v/>
      </c>
      <c r="AI193" s="30" t="str">
        <f t="shared" si="47"/>
        <v/>
      </c>
      <c r="AJ193" s="30" t="str">
        <f t="shared" si="48"/>
        <v/>
      </c>
      <c r="AK193" s="30" t="str">
        <f t="shared" si="49"/>
        <v/>
      </c>
      <c r="AL193" s="19"/>
    </row>
    <row r="194" spans="1:38">
      <c r="A194" s="23" t="str">
        <f>IF('02_Base_Solicitudes'!A192="","",'02_Base_Solicitudes'!R192)</f>
        <v/>
      </c>
      <c r="B194" s="30" t="str">
        <f>IF('02_Base_Solicitudes'!A192="","",'02_Base_Solicitudes'!A192)</f>
        <v/>
      </c>
      <c r="C194" s="23" t="str">
        <f>IF('02_Base_Solicitudes'!A192="","",'02_Base_Solicitudes'!C192)</f>
        <v/>
      </c>
      <c r="D194" s="23" t="str">
        <f>IF('02_Base_Solicitudes'!A192="","",'02_Base_Solicitudes'!D192)</f>
        <v/>
      </c>
      <c r="E194" s="23" t="str">
        <f>IF('02_Base_Solicitudes'!A192="","",'02_Base_Solicitudes'!E192)</f>
        <v/>
      </c>
      <c r="F194" s="23" t="str">
        <f>IF('02_Base_Solicitudes'!A192="","",'02_Base_Solicitudes'!G192)</f>
        <v/>
      </c>
      <c r="G194" s="23" t="str">
        <f>IF('02_Base_Solicitudes'!A192="","",'02_Base_Solicitudes'!H192)</f>
        <v/>
      </c>
      <c r="H194" s="32" t="str">
        <f>IF('02_Base_Solicitudes'!A192="","",'02_Base_Solicitudes'!I192)</f>
        <v/>
      </c>
      <c r="I194" s="30" t="str">
        <f>IF('02_Base_Solicitudes'!A192="","",'02_Base_Solicitudes'!J192)</f>
        <v/>
      </c>
      <c r="J194" s="23" t="str">
        <f>IF('02_Base_Solicitudes'!A192="","",'02_Base_Solicitudes'!M192)</f>
        <v/>
      </c>
      <c r="K194" s="33" t="str">
        <f>IF('02_Base_Solicitudes'!A192="","",'02_Base_Solicitudes'!K192)</f>
        <v/>
      </c>
      <c r="L194" s="19" t="str">
        <f t="shared" si="42"/>
        <v/>
      </c>
      <c r="M194" s="19"/>
      <c r="N194" s="34" t="str">
        <f t="shared" si="43"/>
        <v/>
      </c>
      <c r="O194" s="19"/>
      <c r="P194" s="34"/>
      <c r="Q194" s="19"/>
      <c r="R194" s="34"/>
      <c r="S194" s="19"/>
      <c r="T194" s="19"/>
      <c r="U194" s="19"/>
      <c r="V194" s="19"/>
      <c r="W194" s="34" t="str">
        <f t="shared" si="50"/>
        <v/>
      </c>
      <c r="X194" s="19"/>
      <c r="Y194" s="34"/>
      <c r="Z194" s="19"/>
      <c r="AA194" s="34"/>
      <c r="AB194" s="34"/>
      <c r="AC194" s="34" t="str">
        <f t="shared" si="45"/>
        <v/>
      </c>
      <c r="AD194" s="19"/>
      <c r="AE194" s="19"/>
      <c r="AF194" s="34" t="str">
        <f>OTMaestraTable[[#This Row],[Solicitante]]</f>
        <v/>
      </c>
      <c r="AG194" s="19"/>
      <c r="AH194" s="19" t="str">
        <f t="shared" si="46"/>
        <v/>
      </c>
      <c r="AI194" s="30" t="str">
        <f t="shared" si="47"/>
        <v/>
      </c>
      <c r="AJ194" s="30" t="str">
        <f t="shared" si="48"/>
        <v/>
      </c>
      <c r="AK194" s="30" t="str">
        <f t="shared" si="49"/>
        <v/>
      </c>
      <c r="AL194" s="19"/>
    </row>
    <row r="195" spans="1:38">
      <c r="A195" s="23" t="str">
        <f>IF('02_Base_Solicitudes'!A193="","",'02_Base_Solicitudes'!R193)</f>
        <v/>
      </c>
      <c r="B195" s="30" t="str">
        <f>IF('02_Base_Solicitudes'!A193="","",'02_Base_Solicitudes'!A193)</f>
        <v/>
      </c>
      <c r="C195" s="23" t="str">
        <f>IF('02_Base_Solicitudes'!A193="","",'02_Base_Solicitudes'!C193)</f>
        <v/>
      </c>
      <c r="D195" s="23" t="str">
        <f>IF('02_Base_Solicitudes'!A193="","",'02_Base_Solicitudes'!D193)</f>
        <v/>
      </c>
      <c r="E195" s="23" t="str">
        <f>IF('02_Base_Solicitudes'!A193="","",'02_Base_Solicitudes'!E193)</f>
        <v/>
      </c>
      <c r="F195" s="23" t="str">
        <f>IF('02_Base_Solicitudes'!A193="","",'02_Base_Solicitudes'!G193)</f>
        <v/>
      </c>
      <c r="G195" s="23" t="str">
        <f>IF('02_Base_Solicitudes'!A193="","",'02_Base_Solicitudes'!H193)</f>
        <v/>
      </c>
      <c r="H195" s="32" t="str">
        <f>IF('02_Base_Solicitudes'!A193="","",'02_Base_Solicitudes'!I193)</f>
        <v/>
      </c>
      <c r="I195" s="30" t="str">
        <f>IF('02_Base_Solicitudes'!A193="","",'02_Base_Solicitudes'!J193)</f>
        <v/>
      </c>
      <c r="J195" s="23" t="str">
        <f>IF('02_Base_Solicitudes'!A193="","",'02_Base_Solicitudes'!M193)</f>
        <v/>
      </c>
      <c r="K195" s="33" t="str">
        <f>IF('02_Base_Solicitudes'!A193="","",'02_Base_Solicitudes'!K193)</f>
        <v/>
      </c>
      <c r="L195" s="19" t="str">
        <f t="shared" si="42"/>
        <v/>
      </c>
      <c r="M195" s="19"/>
      <c r="N195" s="34" t="str">
        <f t="shared" si="43"/>
        <v/>
      </c>
      <c r="O195" s="19"/>
      <c r="P195" s="34"/>
      <c r="Q195" s="19"/>
      <c r="R195" s="34"/>
      <c r="S195" s="19"/>
      <c r="T195" s="19"/>
      <c r="U195" s="19"/>
      <c r="V195" s="19"/>
      <c r="W195" s="34" t="str">
        <f t="shared" si="50"/>
        <v/>
      </c>
      <c r="X195" s="19"/>
      <c r="Y195" s="34"/>
      <c r="Z195" s="19"/>
      <c r="AA195" s="34"/>
      <c r="AB195" s="34"/>
      <c r="AC195" s="34" t="str">
        <f t="shared" si="45"/>
        <v/>
      </c>
      <c r="AD195" s="19"/>
      <c r="AE195" s="19"/>
      <c r="AF195" s="34" t="str">
        <f>OTMaestraTable[[#This Row],[Solicitante]]</f>
        <v/>
      </c>
      <c r="AG195" s="19"/>
      <c r="AH195" s="19" t="str">
        <f t="shared" si="46"/>
        <v/>
      </c>
      <c r="AI195" s="30" t="str">
        <f t="shared" si="47"/>
        <v/>
      </c>
      <c r="AJ195" s="30" t="str">
        <f t="shared" si="48"/>
        <v/>
      </c>
      <c r="AK195" s="30" t="str">
        <f t="shared" si="49"/>
        <v/>
      </c>
      <c r="AL195" s="19"/>
    </row>
    <row r="196" spans="1:38">
      <c r="A196" s="23" t="str">
        <f>IF('02_Base_Solicitudes'!A194="","",'02_Base_Solicitudes'!R194)</f>
        <v/>
      </c>
      <c r="B196" s="30" t="str">
        <f>IF('02_Base_Solicitudes'!A194="","",'02_Base_Solicitudes'!A194)</f>
        <v/>
      </c>
      <c r="C196" s="23" t="str">
        <f>IF('02_Base_Solicitudes'!A194="","",'02_Base_Solicitudes'!C194)</f>
        <v/>
      </c>
      <c r="D196" s="23" t="str">
        <f>IF('02_Base_Solicitudes'!A194="","",'02_Base_Solicitudes'!D194)</f>
        <v/>
      </c>
      <c r="E196" s="23" t="str">
        <f>IF('02_Base_Solicitudes'!A194="","",'02_Base_Solicitudes'!E194)</f>
        <v/>
      </c>
      <c r="F196" s="23" t="str">
        <f>IF('02_Base_Solicitudes'!A194="","",'02_Base_Solicitudes'!G194)</f>
        <v/>
      </c>
      <c r="G196" s="23" t="str">
        <f>IF('02_Base_Solicitudes'!A194="","",'02_Base_Solicitudes'!H194)</f>
        <v/>
      </c>
      <c r="H196" s="32" t="str">
        <f>IF('02_Base_Solicitudes'!A194="","",'02_Base_Solicitudes'!I194)</f>
        <v/>
      </c>
      <c r="I196" s="30" t="str">
        <f>IF('02_Base_Solicitudes'!A194="","",'02_Base_Solicitudes'!J194)</f>
        <v/>
      </c>
      <c r="J196" s="23" t="str">
        <f>IF('02_Base_Solicitudes'!A194="","",'02_Base_Solicitudes'!M194)</f>
        <v/>
      </c>
      <c r="K196" s="33" t="str">
        <f>IF('02_Base_Solicitudes'!A194="","",'02_Base_Solicitudes'!K194)</f>
        <v/>
      </c>
      <c r="L196" s="19" t="str">
        <f t="shared" ref="L196:L203" si="51">IF($A196="","","Julio Rivera")</f>
        <v/>
      </c>
      <c r="M196" s="19"/>
      <c r="N196" s="34" t="str">
        <f t="shared" ref="N196:N203" si="52">IF($A196="","","No")</f>
        <v/>
      </c>
      <c r="O196" s="19"/>
      <c r="P196" s="34"/>
      <c r="Q196" s="19"/>
      <c r="R196" s="34"/>
      <c r="S196" s="19"/>
      <c r="T196" s="19"/>
      <c r="U196" s="19"/>
      <c r="V196" s="19"/>
      <c r="W196" s="34" t="str">
        <f t="shared" si="50"/>
        <v/>
      </c>
      <c r="X196" s="19"/>
      <c r="Y196" s="34"/>
      <c r="Z196" s="19"/>
      <c r="AA196" s="34"/>
      <c r="AB196" s="34"/>
      <c r="AC196" s="34" t="str">
        <f t="shared" ref="AC196:AC203" si="53">IF($A196="","","Pendiente")</f>
        <v/>
      </c>
      <c r="AD196" s="19"/>
      <c r="AE196" s="19"/>
      <c r="AF196" s="34" t="str">
        <f>OTMaestraTable[[#This Row],[Solicitante]]</f>
        <v/>
      </c>
      <c r="AG196" s="19"/>
      <c r="AH196" s="19" t="str">
        <f t="shared" ref="AH196:AH203" si="54">IF($A196="","","Abierta")</f>
        <v/>
      </c>
      <c r="AI196" s="30" t="str">
        <f t="shared" ref="AI196:AI203" si="55">IF(AND(C196&lt;&gt;"",AG196&lt;&gt;""),AG196-C196,"")</f>
        <v/>
      </c>
      <c r="AJ196" s="30" t="str">
        <f t="shared" ref="AJ196:AJ203" si="56">IF(A196="","",IF(AND(AG196&lt;&gt;"",K196&lt;&gt;""),IF(AG196&lt;=K196,"Sí","No"),"Pendiente"))</f>
        <v/>
      </c>
      <c r="AK196" s="30" t="str">
        <f t="shared" ref="AK196:AK203" si="57">IF(A196="","",IF(AND($AH196="Cerrada",OR($AE196="",$AF196="",$AG196="")),"⚠ Cerrada incompleta",IF(AND($AH196&lt;&gt;"Cerrada",$AG196&lt;&gt;""),"⚠ Fecha cierre con estado abierto","OK")))</f>
        <v/>
      </c>
      <c r="AL196" s="19"/>
    </row>
    <row r="197" spans="1:38">
      <c r="A197" s="23" t="str">
        <f>IF('02_Base_Solicitudes'!A195="","",'02_Base_Solicitudes'!R195)</f>
        <v/>
      </c>
      <c r="B197" s="30" t="str">
        <f>IF('02_Base_Solicitudes'!A195="","",'02_Base_Solicitudes'!A195)</f>
        <v/>
      </c>
      <c r="C197" s="23" t="str">
        <f>IF('02_Base_Solicitudes'!A195="","",'02_Base_Solicitudes'!C195)</f>
        <v/>
      </c>
      <c r="D197" s="23" t="str">
        <f>IF('02_Base_Solicitudes'!A195="","",'02_Base_Solicitudes'!D195)</f>
        <v/>
      </c>
      <c r="E197" s="23" t="str">
        <f>IF('02_Base_Solicitudes'!A195="","",'02_Base_Solicitudes'!E195)</f>
        <v/>
      </c>
      <c r="F197" s="23" t="str">
        <f>IF('02_Base_Solicitudes'!A195="","",'02_Base_Solicitudes'!G195)</f>
        <v/>
      </c>
      <c r="G197" s="23" t="str">
        <f>IF('02_Base_Solicitudes'!A195="","",'02_Base_Solicitudes'!H195)</f>
        <v/>
      </c>
      <c r="H197" s="32" t="str">
        <f>IF('02_Base_Solicitudes'!A195="","",'02_Base_Solicitudes'!I195)</f>
        <v/>
      </c>
      <c r="I197" s="30" t="str">
        <f>IF('02_Base_Solicitudes'!A195="","",'02_Base_Solicitudes'!J195)</f>
        <v/>
      </c>
      <c r="J197" s="23" t="str">
        <f>IF('02_Base_Solicitudes'!A195="","",'02_Base_Solicitudes'!M195)</f>
        <v/>
      </c>
      <c r="K197" s="33" t="str">
        <f>IF('02_Base_Solicitudes'!A195="","",'02_Base_Solicitudes'!K195)</f>
        <v/>
      </c>
      <c r="L197" s="19" t="str">
        <f t="shared" si="51"/>
        <v/>
      </c>
      <c r="M197" s="19"/>
      <c r="N197" s="34" t="str">
        <f t="shared" si="52"/>
        <v/>
      </c>
      <c r="O197" s="19"/>
      <c r="P197" s="34"/>
      <c r="Q197" s="19"/>
      <c r="R197" s="34"/>
      <c r="S197" s="19"/>
      <c r="T197" s="19"/>
      <c r="U197" s="19"/>
      <c r="V197" s="19"/>
      <c r="W197" s="34" t="str">
        <f t="shared" si="50"/>
        <v/>
      </c>
      <c r="X197" s="19"/>
      <c r="Y197" s="34"/>
      <c r="Z197" s="19"/>
      <c r="AA197" s="34"/>
      <c r="AB197" s="34"/>
      <c r="AC197" s="34" t="str">
        <f t="shared" si="53"/>
        <v/>
      </c>
      <c r="AD197" s="19"/>
      <c r="AE197" s="19"/>
      <c r="AF197" s="34" t="str">
        <f>OTMaestraTable[[#This Row],[Solicitante]]</f>
        <v/>
      </c>
      <c r="AG197" s="19"/>
      <c r="AH197" s="19" t="str">
        <f t="shared" si="54"/>
        <v/>
      </c>
      <c r="AI197" s="30" t="str">
        <f t="shared" si="55"/>
        <v/>
      </c>
      <c r="AJ197" s="30" t="str">
        <f t="shared" si="56"/>
        <v/>
      </c>
      <c r="AK197" s="30" t="str">
        <f t="shared" si="57"/>
        <v/>
      </c>
      <c r="AL197" s="19"/>
    </row>
    <row r="198" spans="1:38">
      <c r="A198" s="23" t="str">
        <f>IF('02_Base_Solicitudes'!A196="","",'02_Base_Solicitudes'!R196)</f>
        <v/>
      </c>
      <c r="B198" s="30" t="str">
        <f>IF('02_Base_Solicitudes'!A196="","",'02_Base_Solicitudes'!A196)</f>
        <v/>
      </c>
      <c r="C198" s="23" t="str">
        <f>IF('02_Base_Solicitudes'!A196="","",'02_Base_Solicitudes'!C196)</f>
        <v/>
      </c>
      <c r="D198" s="23" t="str">
        <f>IF('02_Base_Solicitudes'!A196="","",'02_Base_Solicitudes'!D196)</f>
        <v/>
      </c>
      <c r="E198" s="23" t="str">
        <f>IF('02_Base_Solicitudes'!A196="","",'02_Base_Solicitudes'!E196)</f>
        <v/>
      </c>
      <c r="F198" s="23" t="str">
        <f>IF('02_Base_Solicitudes'!A196="","",'02_Base_Solicitudes'!G196)</f>
        <v/>
      </c>
      <c r="G198" s="23" t="str">
        <f>IF('02_Base_Solicitudes'!A196="","",'02_Base_Solicitudes'!H196)</f>
        <v/>
      </c>
      <c r="H198" s="32" t="str">
        <f>IF('02_Base_Solicitudes'!A196="","",'02_Base_Solicitudes'!I196)</f>
        <v/>
      </c>
      <c r="I198" s="30" t="str">
        <f>IF('02_Base_Solicitudes'!A196="","",'02_Base_Solicitudes'!J196)</f>
        <v/>
      </c>
      <c r="J198" s="23" t="str">
        <f>IF('02_Base_Solicitudes'!A196="","",'02_Base_Solicitudes'!M196)</f>
        <v/>
      </c>
      <c r="K198" s="33" t="str">
        <f>IF('02_Base_Solicitudes'!A196="","",'02_Base_Solicitudes'!K196)</f>
        <v/>
      </c>
      <c r="L198" s="19" t="str">
        <f t="shared" si="51"/>
        <v/>
      </c>
      <c r="M198" s="19"/>
      <c r="N198" s="34" t="str">
        <f t="shared" si="52"/>
        <v/>
      </c>
      <c r="O198" s="19"/>
      <c r="P198" s="34"/>
      <c r="Q198" s="19"/>
      <c r="R198" s="34"/>
      <c r="S198" s="19"/>
      <c r="T198" s="19"/>
      <c r="U198" s="19"/>
      <c r="V198" s="19"/>
      <c r="W198" s="34" t="str">
        <f t="shared" si="50"/>
        <v/>
      </c>
      <c r="X198" s="19"/>
      <c r="Y198" s="34"/>
      <c r="Z198" s="19"/>
      <c r="AA198" s="34"/>
      <c r="AB198" s="34"/>
      <c r="AC198" s="34" t="str">
        <f t="shared" si="53"/>
        <v/>
      </c>
      <c r="AD198" s="19"/>
      <c r="AE198" s="19"/>
      <c r="AF198" s="34" t="str">
        <f>OTMaestraTable[[#This Row],[Solicitante]]</f>
        <v/>
      </c>
      <c r="AG198" s="19"/>
      <c r="AH198" s="19" t="str">
        <f t="shared" si="54"/>
        <v/>
      </c>
      <c r="AI198" s="30" t="str">
        <f t="shared" si="55"/>
        <v/>
      </c>
      <c r="AJ198" s="30" t="str">
        <f t="shared" si="56"/>
        <v/>
      </c>
      <c r="AK198" s="30" t="str">
        <f t="shared" si="57"/>
        <v/>
      </c>
      <c r="AL198" s="19"/>
    </row>
    <row r="199" spans="1:38">
      <c r="A199" s="23" t="str">
        <f>IF('02_Base_Solicitudes'!A197="","",'02_Base_Solicitudes'!R197)</f>
        <v/>
      </c>
      <c r="B199" s="30" t="str">
        <f>IF('02_Base_Solicitudes'!A197="","",'02_Base_Solicitudes'!A197)</f>
        <v/>
      </c>
      <c r="C199" s="23" t="str">
        <f>IF('02_Base_Solicitudes'!A197="","",'02_Base_Solicitudes'!C197)</f>
        <v/>
      </c>
      <c r="D199" s="23" t="str">
        <f>IF('02_Base_Solicitudes'!A197="","",'02_Base_Solicitudes'!D197)</f>
        <v/>
      </c>
      <c r="E199" s="23" t="str">
        <f>IF('02_Base_Solicitudes'!A197="","",'02_Base_Solicitudes'!E197)</f>
        <v/>
      </c>
      <c r="F199" s="23" t="str">
        <f>IF('02_Base_Solicitudes'!A197="","",'02_Base_Solicitudes'!G197)</f>
        <v/>
      </c>
      <c r="G199" s="23" t="str">
        <f>IF('02_Base_Solicitudes'!A197="","",'02_Base_Solicitudes'!H197)</f>
        <v/>
      </c>
      <c r="H199" s="32" t="str">
        <f>IF('02_Base_Solicitudes'!A197="","",'02_Base_Solicitudes'!I197)</f>
        <v/>
      </c>
      <c r="I199" s="30" t="str">
        <f>IF('02_Base_Solicitudes'!A197="","",'02_Base_Solicitudes'!J197)</f>
        <v/>
      </c>
      <c r="J199" s="23" t="str">
        <f>IF('02_Base_Solicitudes'!A197="","",'02_Base_Solicitudes'!M197)</f>
        <v/>
      </c>
      <c r="K199" s="33" t="str">
        <f>IF('02_Base_Solicitudes'!A197="","",'02_Base_Solicitudes'!K197)</f>
        <v/>
      </c>
      <c r="L199" s="19" t="str">
        <f t="shared" si="51"/>
        <v/>
      </c>
      <c r="M199" s="19"/>
      <c r="N199" s="34" t="str">
        <f t="shared" si="52"/>
        <v/>
      </c>
      <c r="O199" s="19"/>
      <c r="P199" s="34"/>
      <c r="Q199" s="19"/>
      <c r="R199" s="34"/>
      <c r="S199" s="19"/>
      <c r="T199" s="19"/>
      <c r="U199" s="19"/>
      <c r="V199" s="19"/>
      <c r="W199" s="34" t="str">
        <f t="shared" si="50"/>
        <v/>
      </c>
      <c r="X199" s="19"/>
      <c r="Y199" s="34"/>
      <c r="Z199" s="19"/>
      <c r="AA199" s="34"/>
      <c r="AB199" s="34"/>
      <c r="AC199" s="34" t="str">
        <f t="shared" si="53"/>
        <v/>
      </c>
      <c r="AD199" s="19"/>
      <c r="AE199" s="19"/>
      <c r="AF199" s="34" t="str">
        <f>OTMaestraTable[[#This Row],[Solicitante]]</f>
        <v/>
      </c>
      <c r="AG199" s="19"/>
      <c r="AH199" s="19" t="str">
        <f t="shared" si="54"/>
        <v/>
      </c>
      <c r="AI199" s="30" t="str">
        <f t="shared" si="55"/>
        <v/>
      </c>
      <c r="AJ199" s="30" t="str">
        <f t="shared" si="56"/>
        <v/>
      </c>
      <c r="AK199" s="30" t="str">
        <f t="shared" si="57"/>
        <v/>
      </c>
      <c r="AL199" s="19"/>
    </row>
    <row r="200" spans="1:38">
      <c r="A200" s="23" t="str">
        <f>IF('02_Base_Solicitudes'!A198="","",'02_Base_Solicitudes'!R198)</f>
        <v/>
      </c>
      <c r="B200" s="30" t="str">
        <f>IF('02_Base_Solicitudes'!A198="","",'02_Base_Solicitudes'!A198)</f>
        <v/>
      </c>
      <c r="C200" s="23" t="str">
        <f>IF('02_Base_Solicitudes'!A198="","",'02_Base_Solicitudes'!C198)</f>
        <v/>
      </c>
      <c r="D200" s="23" t="str">
        <f>IF('02_Base_Solicitudes'!A198="","",'02_Base_Solicitudes'!D198)</f>
        <v/>
      </c>
      <c r="E200" s="23" t="str">
        <f>IF('02_Base_Solicitudes'!A198="","",'02_Base_Solicitudes'!E198)</f>
        <v/>
      </c>
      <c r="F200" s="23" t="str">
        <f>IF('02_Base_Solicitudes'!A198="","",'02_Base_Solicitudes'!G198)</f>
        <v/>
      </c>
      <c r="G200" s="23" t="str">
        <f>IF('02_Base_Solicitudes'!A198="","",'02_Base_Solicitudes'!H198)</f>
        <v/>
      </c>
      <c r="H200" s="32" t="str">
        <f>IF('02_Base_Solicitudes'!A198="","",'02_Base_Solicitudes'!I198)</f>
        <v/>
      </c>
      <c r="I200" s="30" t="str">
        <f>IF('02_Base_Solicitudes'!A198="","",'02_Base_Solicitudes'!J198)</f>
        <v/>
      </c>
      <c r="J200" s="23" t="str">
        <f>IF('02_Base_Solicitudes'!A198="","",'02_Base_Solicitudes'!M198)</f>
        <v/>
      </c>
      <c r="K200" s="33" t="str">
        <f>IF('02_Base_Solicitudes'!A198="","",'02_Base_Solicitudes'!K198)</f>
        <v/>
      </c>
      <c r="L200" s="19" t="str">
        <f t="shared" si="51"/>
        <v/>
      </c>
      <c r="M200" s="19"/>
      <c r="N200" s="34" t="str">
        <f t="shared" si="52"/>
        <v/>
      </c>
      <c r="O200" s="19"/>
      <c r="P200" s="34"/>
      <c r="Q200" s="19"/>
      <c r="R200" s="34"/>
      <c r="S200" s="19"/>
      <c r="T200" s="19"/>
      <c r="U200" s="19"/>
      <c r="V200" s="19"/>
      <c r="W200" s="34" t="str">
        <f t="shared" si="50"/>
        <v/>
      </c>
      <c r="X200" s="19"/>
      <c r="Y200" s="34"/>
      <c r="Z200" s="19"/>
      <c r="AA200" s="34"/>
      <c r="AB200" s="34"/>
      <c r="AC200" s="34" t="str">
        <f t="shared" si="53"/>
        <v/>
      </c>
      <c r="AD200" s="19"/>
      <c r="AE200" s="19"/>
      <c r="AF200" s="34" t="str">
        <f>OTMaestraTable[[#This Row],[Solicitante]]</f>
        <v/>
      </c>
      <c r="AG200" s="19"/>
      <c r="AH200" s="19" t="str">
        <f t="shared" si="54"/>
        <v/>
      </c>
      <c r="AI200" s="30" t="str">
        <f t="shared" si="55"/>
        <v/>
      </c>
      <c r="AJ200" s="30" t="str">
        <f t="shared" si="56"/>
        <v/>
      </c>
      <c r="AK200" s="30" t="str">
        <f t="shared" si="57"/>
        <v/>
      </c>
      <c r="AL200" s="19"/>
    </row>
    <row r="201" spans="1:38">
      <c r="A201" s="23" t="str">
        <f>IF('02_Base_Solicitudes'!A199="","",'02_Base_Solicitudes'!R199)</f>
        <v/>
      </c>
      <c r="B201" s="30" t="str">
        <f>IF('02_Base_Solicitudes'!A199="","",'02_Base_Solicitudes'!A199)</f>
        <v/>
      </c>
      <c r="C201" s="23" t="str">
        <f>IF('02_Base_Solicitudes'!A199="","",'02_Base_Solicitudes'!C199)</f>
        <v/>
      </c>
      <c r="D201" s="23" t="str">
        <f>IF('02_Base_Solicitudes'!A199="","",'02_Base_Solicitudes'!D199)</f>
        <v/>
      </c>
      <c r="E201" s="23" t="str">
        <f>IF('02_Base_Solicitudes'!A199="","",'02_Base_Solicitudes'!E199)</f>
        <v/>
      </c>
      <c r="F201" s="23" t="str">
        <f>IF('02_Base_Solicitudes'!A199="","",'02_Base_Solicitudes'!G199)</f>
        <v/>
      </c>
      <c r="G201" s="23" t="str">
        <f>IF('02_Base_Solicitudes'!A199="","",'02_Base_Solicitudes'!H199)</f>
        <v/>
      </c>
      <c r="H201" s="32" t="str">
        <f>IF('02_Base_Solicitudes'!A199="","",'02_Base_Solicitudes'!I199)</f>
        <v/>
      </c>
      <c r="I201" s="30" t="str">
        <f>IF('02_Base_Solicitudes'!A199="","",'02_Base_Solicitudes'!J199)</f>
        <v/>
      </c>
      <c r="J201" s="23" t="str">
        <f>IF('02_Base_Solicitudes'!A199="","",'02_Base_Solicitudes'!M199)</f>
        <v/>
      </c>
      <c r="K201" s="33" t="str">
        <f>IF('02_Base_Solicitudes'!A199="","",'02_Base_Solicitudes'!K199)</f>
        <v/>
      </c>
      <c r="L201" s="19" t="str">
        <f t="shared" si="51"/>
        <v/>
      </c>
      <c r="M201" s="19"/>
      <c r="N201" s="34" t="str">
        <f t="shared" si="52"/>
        <v/>
      </c>
      <c r="O201" s="19"/>
      <c r="P201" s="34"/>
      <c r="Q201" s="19"/>
      <c r="R201" s="34"/>
      <c r="S201" s="19"/>
      <c r="T201" s="19"/>
      <c r="U201" s="19"/>
      <c r="V201" s="19"/>
      <c r="W201" s="34" t="str">
        <f t="shared" si="50"/>
        <v/>
      </c>
      <c r="X201" s="19"/>
      <c r="Y201" s="34"/>
      <c r="Z201" s="19"/>
      <c r="AA201" s="34"/>
      <c r="AB201" s="34"/>
      <c r="AC201" s="34" t="str">
        <f t="shared" si="53"/>
        <v/>
      </c>
      <c r="AD201" s="19"/>
      <c r="AE201" s="19"/>
      <c r="AF201" s="34" t="str">
        <f>OTMaestraTable[[#This Row],[Solicitante]]</f>
        <v/>
      </c>
      <c r="AG201" s="19"/>
      <c r="AH201" s="19" t="str">
        <f t="shared" si="54"/>
        <v/>
      </c>
      <c r="AI201" s="30" t="str">
        <f t="shared" si="55"/>
        <v/>
      </c>
      <c r="AJ201" s="30" t="str">
        <f t="shared" si="56"/>
        <v/>
      </c>
      <c r="AK201" s="30" t="str">
        <f t="shared" si="57"/>
        <v/>
      </c>
      <c r="AL201" s="19"/>
    </row>
    <row r="202" spans="1:38">
      <c r="A202" s="23" t="str">
        <f>IF('02_Base_Solicitudes'!A200="","",'02_Base_Solicitudes'!R200)</f>
        <v/>
      </c>
      <c r="B202" s="30" t="str">
        <f>IF('02_Base_Solicitudes'!A200="","",'02_Base_Solicitudes'!A200)</f>
        <v/>
      </c>
      <c r="C202" s="23" t="str">
        <f>IF('02_Base_Solicitudes'!A200="","",'02_Base_Solicitudes'!C200)</f>
        <v/>
      </c>
      <c r="D202" s="23" t="str">
        <f>IF('02_Base_Solicitudes'!A200="","",'02_Base_Solicitudes'!D200)</f>
        <v/>
      </c>
      <c r="E202" s="23" t="str">
        <f>IF('02_Base_Solicitudes'!A200="","",'02_Base_Solicitudes'!E200)</f>
        <v/>
      </c>
      <c r="F202" s="23" t="str">
        <f>IF('02_Base_Solicitudes'!A200="","",'02_Base_Solicitudes'!G200)</f>
        <v/>
      </c>
      <c r="G202" s="23" t="str">
        <f>IF('02_Base_Solicitudes'!A200="","",'02_Base_Solicitudes'!H200)</f>
        <v/>
      </c>
      <c r="H202" s="32" t="str">
        <f>IF('02_Base_Solicitudes'!A200="","",'02_Base_Solicitudes'!I200)</f>
        <v/>
      </c>
      <c r="I202" s="30" t="str">
        <f>IF('02_Base_Solicitudes'!A200="","",'02_Base_Solicitudes'!J200)</f>
        <v/>
      </c>
      <c r="J202" s="23" t="str">
        <f>IF('02_Base_Solicitudes'!A200="","",'02_Base_Solicitudes'!M200)</f>
        <v/>
      </c>
      <c r="K202" s="33" t="str">
        <f>IF('02_Base_Solicitudes'!A200="","",'02_Base_Solicitudes'!K200)</f>
        <v/>
      </c>
      <c r="L202" s="19" t="str">
        <f t="shared" si="51"/>
        <v/>
      </c>
      <c r="M202" s="19"/>
      <c r="N202" s="34" t="str">
        <f t="shared" si="52"/>
        <v/>
      </c>
      <c r="O202" s="19"/>
      <c r="P202" s="34"/>
      <c r="Q202" s="19"/>
      <c r="R202" s="34"/>
      <c r="S202" s="19"/>
      <c r="T202" s="19"/>
      <c r="U202" s="19"/>
      <c r="V202" s="19"/>
      <c r="W202" s="34" t="str">
        <f t="shared" si="50"/>
        <v/>
      </c>
      <c r="X202" s="19"/>
      <c r="Y202" s="34"/>
      <c r="Z202" s="19"/>
      <c r="AA202" s="34"/>
      <c r="AB202" s="34"/>
      <c r="AC202" s="34" t="str">
        <f t="shared" si="53"/>
        <v/>
      </c>
      <c r="AD202" s="19"/>
      <c r="AE202" s="19"/>
      <c r="AF202" s="34" t="str">
        <f>OTMaestraTable[[#This Row],[Solicitante]]</f>
        <v/>
      </c>
      <c r="AG202" s="19"/>
      <c r="AH202" s="19" t="str">
        <f t="shared" si="54"/>
        <v/>
      </c>
      <c r="AI202" s="30" t="str">
        <f t="shared" si="55"/>
        <v/>
      </c>
      <c r="AJ202" s="30" t="str">
        <f t="shared" si="56"/>
        <v/>
      </c>
      <c r="AK202" s="30" t="str">
        <f t="shared" si="57"/>
        <v/>
      </c>
      <c r="AL202" s="19"/>
    </row>
    <row r="203" spans="1:38">
      <c r="A203" s="23" t="str">
        <f>IF('02_Base_Solicitudes'!A201="","",'02_Base_Solicitudes'!R201)</f>
        <v/>
      </c>
      <c r="B203" s="30" t="str">
        <f>IF('02_Base_Solicitudes'!A201="","",'02_Base_Solicitudes'!A201)</f>
        <v/>
      </c>
      <c r="C203" s="23" t="str">
        <f>IF('02_Base_Solicitudes'!A201="","",'02_Base_Solicitudes'!C201)</f>
        <v/>
      </c>
      <c r="D203" s="23" t="str">
        <f>IF('02_Base_Solicitudes'!A201="","",'02_Base_Solicitudes'!D201)</f>
        <v/>
      </c>
      <c r="E203" s="23" t="str">
        <f>IF('02_Base_Solicitudes'!A201="","",'02_Base_Solicitudes'!E201)</f>
        <v/>
      </c>
      <c r="F203" s="23" t="str">
        <f>IF('02_Base_Solicitudes'!A201="","",'02_Base_Solicitudes'!G201)</f>
        <v/>
      </c>
      <c r="G203" s="23" t="str">
        <f>IF('02_Base_Solicitudes'!A201="","",'02_Base_Solicitudes'!H201)</f>
        <v/>
      </c>
      <c r="H203" s="32" t="str">
        <f>IF('02_Base_Solicitudes'!A201="","",'02_Base_Solicitudes'!I201)</f>
        <v/>
      </c>
      <c r="I203" s="30" t="str">
        <f>IF('02_Base_Solicitudes'!A201="","",'02_Base_Solicitudes'!J201)</f>
        <v/>
      </c>
      <c r="J203" s="23" t="str">
        <f>IF('02_Base_Solicitudes'!A201="","",'02_Base_Solicitudes'!M201)</f>
        <v/>
      </c>
      <c r="K203" s="33" t="str">
        <f>IF('02_Base_Solicitudes'!A201="","",'02_Base_Solicitudes'!K201)</f>
        <v/>
      </c>
      <c r="L203" s="19" t="str">
        <f t="shared" si="51"/>
        <v/>
      </c>
      <c r="M203" s="19"/>
      <c r="N203" s="34" t="str">
        <f t="shared" si="52"/>
        <v/>
      </c>
      <c r="O203" s="19"/>
      <c r="P203" s="34"/>
      <c r="Q203" s="19"/>
      <c r="R203" s="34"/>
      <c r="S203" s="19"/>
      <c r="T203" s="19"/>
      <c r="U203" s="19"/>
      <c r="V203" s="19"/>
      <c r="W203" s="34" t="str">
        <f t="shared" si="50"/>
        <v/>
      </c>
      <c r="X203" s="19"/>
      <c r="Y203" s="34"/>
      <c r="Z203" s="19"/>
      <c r="AA203" s="34"/>
      <c r="AB203" s="34"/>
      <c r="AC203" s="34" t="str">
        <f t="shared" si="53"/>
        <v/>
      </c>
      <c r="AD203" s="19"/>
      <c r="AE203" s="19"/>
      <c r="AF203" s="34" t="str">
        <f>OTMaestraTable[[#This Row],[Solicitante]]</f>
        <v/>
      </c>
      <c r="AG203" s="19"/>
      <c r="AH203" s="19" t="str">
        <f t="shared" si="54"/>
        <v/>
      </c>
      <c r="AI203" s="30" t="str">
        <f t="shared" si="55"/>
        <v/>
      </c>
      <c r="AJ203" s="30" t="str">
        <f t="shared" si="56"/>
        <v/>
      </c>
      <c r="AK203" s="30" t="str">
        <f t="shared" si="57"/>
        <v/>
      </c>
      <c r="AL203" s="19"/>
    </row>
  </sheetData>
  <mergeCells count="2">
    <mergeCell ref="A1:P1"/>
    <mergeCell ref="A2:P2"/>
  </mergeCells>
  <phoneticPr fontId="10" type="noConversion"/>
  <conditionalFormatting sqref="N4:N203">
    <cfRule type="expression" dxfId="5" priority="7">
      <formula>$N4="No"</formula>
    </cfRule>
  </conditionalFormatting>
  <conditionalFormatting sqref="Q4:Q31">
    <cfRule type="expression" dxfId="4" priority="1">
      <formula>$N4="No"</formula>
    </cfRule>
  </conditionalFormatting>
  <conditionalFormatting sqref="AH4:AH203">
    <cfRule type="expression" dxfId="3" priority="5">
      <formula>$AH4="Cerrada"</formula>
    </cfRule>
  </conditionalFormatting>
  <conditionalFormatting sqref="AJ4:AK203">
    <cfRule type="expression" dxfId="2" priority="6">
      <formula>$AJ4="No"</formula>
    </cfRule>
  </conditionalFormatting>
  <conditionalFormatting sqref="AK4:AK203">
    <cfRule type="expression" dxfId="1" priority="8">
      <formula>AND($AK4&lt;&gt;"",$AK4&lt;&gt;"OK")</formula>
    </cfRule>
    <cfRule type="expression" dxfId="0" priority="9">
      <formula>$AK4="OK"</formula>
    </cfRule>
  </conditionalFormatting>
  <dataValidations count="1">
    <dataValidation type="custom" allowBlank="1" showInputMessage="1" showErrorMessage="1" errorTitle="Primero el Estado OT" error="Fecha cierre solo se puede digitar cuando Estado OT = Cerrada. Primero seleccione el Estado OT y luego la fecha." promptTitle="Fecha cierre" prompt="Primero seleccione Estado OT = Cerrada; luego digite la fecha." sqref="AG4:AG203" xr:uid="{00000000-0002-0000-0300-000000000000}">
      <formula1>$AH4="Cerrada"</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1">
        <x14:dataValidation type="list" xr:uid="{00000000-0002-0000-0300-000000000000}">
          <x14:formula1>
            <xm:f>'05_Catalogos'!$C$2:$C$4</xm:f>
          </x14:formula1>
          <xm:sqref>J4:J203</xm:sqref>
        </x14:dataValidation>
        <x14:dataValidation type="list" xr:uid="{00000000-0002-0000-0300-000001000000}">
          <x14:formula1>
            <xm:f>'05_Catalogos'!$D$2:$D$10</xm:f>
          </x14:formula1>
          <xm:sqref>AH4:AH203</xm:sqref>
        </x14:dataValidation>
        <x14:dataValidation type="list" xr:uid="{00000000-0002-0000-0300-000002000000}">
          <x14:formula1>
            <xm:f>'05_Catalogos'!$E$2:$E$4</xm:f>
          </x14:formula1>
          <xm:sqref>L4:L203</xm:sqref>
        </x14:dataValidation>
        <x14:dataValidation type="list" xr:uid="{00000000-0002-0000-0300-000003000000}">
          <x14:formula1>
            <xm:f>'05_Catalogos'!$F$2:$F$4</xm:f>
          </x14:formula1>
          <xm:sqref>M4:M203</xm:sqref>
        </x14:dataValidation>
        <x14:dataValidation type="list" xr:uid="{00000000-0002-0000-0300-000004000000}">
          <x14:formula1>
            <xm:f>'05_Catalogos'!$K$2:$K$3</xm:f>
          </x14:formula1>
          <xm:sqref>N4:N203 W4:W203 AC17:AC203 X4:X31 Q4:Q31</xm:sqref>
        </x14:dataValidation>
        <x14:dataValidation type="list" xr:uid="{00000000-0002-0000-0300-000005000000}">
          <x14:formula1>
            <xm:f>'05_Catalogos'!$F$2:$F$7</xm:f>
          </x14:formula1>
          <xm:sqref>R22:R24 R27:R203</xm:sqref>
        </x14:dataValidation>
        <x14:dataValidation type="list" xr:uid="{00000000-0002-0000-0300-000009000000}">
          <x14:formula1>
            <xm:f>'05_Catalogos'!$G$2:$G$10</xm:f>
          </x14:formula1>
          <xm:sqref>V4:V203</xm:sqref>
        </x14:dataValidation>
        <x14:dataValidation type="list" xr:uid="{00000000-0002-0000-0300-000008000000}">
          <x14:formula1>
            <xm:f>'05_Catalogos'!$I$2:$I$11</xm:f>
          </x14:formula1>
          <xm:sqref>U4:U203</xm:sqref>
        </x14:dataValidation>
        <x14:dataValidation type="list" xr:uid="{844B5999-4534-4B45-80E5-0889B47EDF07}">
          <x14:formula1>
            <xm:f>'05_Catalogos'!$M$2:$M$4</xm:f>
          </x14:formula1>
          <xm:sqref>AC4:AC16</xm:sqref>
        </x14:dataValidation>
        <x14:dataValidation type="list" xr:uid="{00000000-0002-0000-0300-000007000000}">
          <x14:formula1>
            <xm:f>'05_Catalogos'!$H$2:$H$7</xm:f>
          </x14:formula1>
          <xm:sqref>T4:T203</xm:sqref>
        </x14:dataValidation>
        <x14:dataValidation type="list" xr:uid="{00000000-0002-0000-0300-000006000000}">
          <x14:formula1>
            <xm:f>'05_Catalogos'!$J$2:$J$5</xm:f>
          </x14:formula1>
          <xm:sqref>S4:S203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28"/>
  <sheetViews>
    <sheetView zoomScale="85" zoomScaleNormal="85" workbookViewId="0">
      <selection activeCell="J22" sqref="J22"/>
    </sheetView>
  </sheetViews>
  <sheetFormatPr defaultRowHeight="14"/>
  <cols>
    <col min="1" max="1" width="17.5" bestFit="1" customWidth="1"/>
    <col min="2" max="2" width="43.25" bestFit="1" customWidth="1"/>
    <col min="3" max="3" width="16.1640625" customWidth="1"/>
    <col min="4" max="4" width="6.83203125" customWidth="1"/>
    <col min="5" max="5" width="8.75" customWidth="1"/>
  </cols>
  <sheetData>
    <row r="1" spans="1:52" ht="15">
      <c r="A1" s="49" t="s">
        <v>256</v>
      </c>
      <c r="B1" s="50"/>
      <c r="C1" s="50"/>
      <c r="D1" s="50"/>
      <c r="E1" s="50"/>
      <c r="F1" s="50"/>
      <c r="G1" s="50"/>
      <c r="H1" s="50"/>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t="s">
        <v>141</v>
      </c>
      <c r="B2" s="6" t="s">
        <v>247</v>
      </c>
    </row>
    <row r="4" spans="1:52">
      <c r="A4" s="62" t="s">
        <v>142</v>
      </c>
      <c r="B4" s="62"/>
      <c r="C4" s="62"/>
      <c r="D4" s="62"/>
      <c r="E4" s="62"/>
      <c r="F4" s="62"/>
      <c r="G4" s="62"/>
      <c r="H4" s="62"/>
    </row>
    <row r="5" spans="1:52">
      <c r="A5" s="8" t="s">
        <v>110</v>
      </c>
      <c r="B5" s="17" t="str">
        <f>B2</f>
        <v>OT-UM-202605-001</v>
      </c>
      <c r="C5" s="8" t="s">
        <v>97</v>
      </c>
      <c r="D5" s="61" t="str">
        <f>_xlfn.XLOOKUP($B$2,OTMaestraTable[Número OT],OTMaestraTable[Dependencia],"")</f>
        <v/>
      </c>
      <c r="E5" s="61"/>
      <c r="F5" s="61"/>
      <c r="G5" s="61"/>
      <c r="H5" s="61"/>
    </row>
    <row r="6" spans="1:52">
      <c r="A6" s="8" t="s">
        <v>96</v>
      </c>
      <c r="B6" s="18" t="str">
        <f>_xlfn.XLOOKUP($B$2,OTMaestraTable[Número OT],OTMaestraTable[Fecha solicitud],"")</f>
        <v/>
      </c>
      <c r="C6" s="8" t="s">
        <v>98</v>
      </c>
      <c r="D6" s="61" t="str">
        <f>_xlfn.XLOOKUP($B$2,OTMaestraTable[Número OT],OTMaestraTable[Solicitante],"")</f>
        <v/>
      </c>
      <c r="E6" s="61"/>
      <c r="F6" s="61"/>
      <c r="G6" s="61"/>
      <c r="H6" s="61"/>
    </row>
    <row r="7" spans="1:52">
      <c r="A7" s="8" t="s">
        <v>100</v>
      </c>
      <c r="B7" s="17" t="str">
        <f>_xlfn.XLOOKUP($B$2,OTMaestraTable[Número OT],OTMaestraTable[Nombre trabajo],"")</f>
        <v/>
      </c>
      <c r="C7" s="8" t="s">
        <v>101</v>
      </c>
      <c r="D7" s="61" t="str">
        <f>_xlfn.XLOOKUP($B$2,OTMaestraTable[Número OT],OTMaestraTable[Tipo trabajo],"")</f>
        <v/>
      </c>
      <c r="E7" s="61"/>
      <c r="F7" s="61"/>
      <c r="G7" s="61"/>
      <c r="H7" s="61"/>
    </row>
    <row r="8" spans="1:52">
      <c r="A8" s="8" t="s">
        <v>102</v>
      </c>
      <c r="B8" s="17" t="str">
        <f>_xlfn.XLOOKUP($B$2,OTMaestraTable[Número OT],OTMaestraTable[Cantidad],"")</f>
        <v/>
      </c>
      <c r="C8" s="8" t="s">
        <v>103</v>
      </c>
      <c r="D8" s="60" t="str">
        <f>_xlfn.XLOOKUP($B$2,OTMaestraTable[Número OT],OTMaestraTable[Fecha requerida],"")</f>
        <v/>
      </c>
      <c r="E8" s="60"/>
      <c r="F8" s="60"/>
      <c r="G8" s="60"/>
      <c r="H8" s="60"/>
    </row>
    <row r="9" spans="1:52">
      <c r="A9" s="8" t="s">
        <v>105</v>
      </c>
      <c r="B9" s="17" t="str">
        <f>_xlfn.XLOOKUP($B$2,OTMaestraTable[Número OT],OTMaestraTable[Prioridad],"")</f>
        <v/>
      </c>
      <c r="C9" s="8" t="s">
        <v>143</v>
      </c>
      <c r="D9" s="61" t="str">
        <f>_xlfn.XLOOKUP($B$2,OTMaestraTable[Número OT],OTMaestraTable[Estado OT],"")</f>
        <v/>
      </c>
      <c r="E9" s="61"/>
      <c r="F9" s="61"/>
      <c r="G9" s="61"/>
      <c r="H9" s="61"/>
    </row>
    <row r="10" spans="1:52">
      <c r="A10" s="8"/>
      <c r="B10" s="7"/>
      <c r="C10" s="8"/>
      <c r="D10" s="7"/>
      <c r="E10" s="7"/>
      <c r="F10" s="7"/>
      <c r="G10" s="7"/>
      <c r="H10" s="7"/>
    </row>
    <row r="11" spans="1:52">
      <c r="A11" s="8"/>
      <c r="B11" s="7"/>
      <c r="C11" s="8"/>
      <c r="D11" s="7"/>
      <c r="E11" s="7"/>
      <c r="F11" s="7"/>
      <c r="G11" s="7"/>
      <c r="H11" s="7"/>
    </row>
    <row r="12" spans="1:52">
      <c r="A12" s="62" t="s">
        <v>144</v>
      </c>
      <c r="B12" s="63"/>
      <c r="C12" s="62"/>
      <c r="D12" s="63"/>
      <c r="E12" s="63"/>
      <c r="F12" s="63"/>
      <c r="G12" s="63"/>
      <c r="H12" s="63"/>
    </row>
    <row r="13" spans="1:52">
      <c r="A13" s="8" t="s">
        <v>119</v>
      </c>
      <c r="B13" s="17" t="str">
        <f>_xlfn.XLOOKUP($B$2,OTMaestraTable[Número OT],OTMaestraTable[Diseñador],"")</f>
        <v/>
      </c>
      <c r="C13" s="8" t="s">
        <v>120</v>
      </c>
      <c r="D13" s="17" t="str">
        <f>_xlfn.XLOOKUP($B$2,OTMaestraTable[Número OT],OTMaestraTable[Cliente aprobó],"")</f>
        <v/>
      </c>
      <c r="E13" s="17"/>
      <c r="F13" s="17"/>
      <c r="G13" s="17"/>
      <c r="H13" s="17"/>
    </row>
    <row r="14" spans="1:52">
      <c r="A14" s="8" t="s">
        <v>121</v>
      </c>
      <c r="B14" s="18" t="str">
        <f>_xlfn.XLOOKUP($B$2,OTMaestraTable[Número OT],OTMaestraTable[Fecha aprobación diseño],"")</f>
        <v/>
      </c>
      <c r="C14" s="8" t="s">
        <v>254</v>
      </c>
      <c r="D14" s="61" t="str">
        <f>_xlfn.XLOOKUP($B$2,OTMaestraTable[Número OT],OTMaestraTable[Planchas Listas],"")</f>
        <v/>
      </c>
      <c r="E14" s="61"/>
      <c r="F14" s="61"/>
      <c r="G14" s="61"/>
      <c r="H14" s="61"/>
    </row>
    <row r="15" spans="1:52">
      <c r="A15" s="8" t="s">
        <v>266</v>
      </c>
      <c r="B15" s="17" t="str">
        <f>_xlfn.XLOOKUP($B$2,OTMaestraTable[Número OT],OTMaestraTable[Observaciones diseño],"")</f>
        <v/>
      </c>
      <c r="C15" s="8"/>
      <c r="D15" s="61"/>
      <c r="E15" s="61"/>
      <c r="F15" s="61"/>
      <c r="G15" s="61"/>
      <c r="H15" s="61"/>
    </row>
    <row r="16" spans="1:52">
      <c r="A16" s="8"/>
      <c r="B16" s="7"/>
      <c r="C16" s="8"/>
      <c r="D16" s="7"/>
      <c r="E16" s="7"/>
      <c r="F16" s="7"/>
      <c r="G16" s="7"/>
      <c r="H16" s="7"/>
    </row>
    <row r="17" spans="1:8">
      <c r="A17" s="8"/>
      <c r="B17" s="7"/>
      <c r="C17" s="8"/>
      <c r="D17" s="7"/>
      <c r="E17" s="7"/>
      <c r="F17" s="7"/>
      <c r="G17" s="7"/>
      <c r="H17" s="7"/>
    </row>
    <row r="18" spans="1:8">
      <c r="A18" s="62" t="s">
        <v>145</v>
      </c>
      <c r="B18" s="63"/>
      <c r="C18" s="62"/>
      <c r="D18" s="63"/>
      <c r="E18" s="63"/>
      <c r="F18" s="63"/>
      <c r="G18" s="63"/>
      <c r="H18" s="63"/>
    </row>
    <row r="19" spans="1:8">
      <c r="A19" s="8" t="s">
        <v>146</v>
      </c>
      <c r="B19" s="7" t="str">
        <f>_xlfn.XLOOKUP($B$2,OTMaestraTable[Número OT],OTMaestraTable[Preprensa: formato/tamaño (cm)],"")</f>
        <v/>
      </c>
      <c r="C19" s="8" t="s">
        <v>147</v>
      </c>
      <c r="D19" s="59" t="str">
        <f>_xlfn.XLOOKUP($B$2,OTMaestraTable[Número OT],OTMaestraTable[Preprensa: color/tintas],"")</f>
        <v/>
      </c>
      <c r="E19" s="59"/>
      <c r="F19" s="59"/>
      <c r="G19" s="59"/>
      <c r="H19" s="59"/>
    </row>
    <row r="20" spans="1:8">
      <c r="A20" s="8" t="s">
        <v>148</v>
      </c>
      <c r="B20" s="7" t="str">
        <f>_xlfn.XLOOKUP($B$2,OTMaestraTable[Número OT],OTMaestraTable[Preprensa: material],"")</f>
        <v/>
      </c>
      <c r="C20" s="8" t="s">
        <v>149</v>
      </c>
      <c r="D20" s="59" t="str">
        <f>_xlfn.XLOOKUP($B$2,OTMaestraTable[Número OT],OTMaestraTable[Preprensa: acabado],"")</f>
        <v/>
      </c>
      <c r="E20" s="59"/>
      <c r="F20" s="59"/>
      <c r="G20" s="59"/>
      <c r="H20" s="59"/>
    </row>
    <row r="21" spans="1:8">
      <c r="A21" s="8" t="s">
        <v>150</v>
      </c>
      <c r="B21" s="7" t="str">
        <f>_xlfn.XLOOKUP($B$2,OTMaestraTable[Número OT],OTMaestraTable[Preprensa: máquina sugerida],"")</f>
        <v/>
      </c>
      <c r="C21" s="8" t="s">
        <v>151</v>
      </c>
      <c r="D21" s="59" t="str">
        <f>_xlfn.XLOOKUP($B$2,OTMaestraTable[Número OT],OTMaestraTable[¿Hay stock?],"")</f>
        <v/>
      </c>
      <c r="E21" s="59"/>
      <c r="F21" s="59"/>
      <c r="G21" s="59"/>
      <c r="H21" s="59"/>
    </row>
    <row r="22" spans="1:8">
      <c r="A22" s="8"/>
      <c r="B22" s="7"/>
      <c r="C22" s="8"/>
      <c r="D22" s="7"/>
      <c r="E22" s="7"/>
      <c r="F22" s="7"/>
      <c r="G22" s="7"/>
      <c r="H22" s="7"/>
    </row>
    <row r="23" spans="1:8">
      <c r="A23" s="8"/>
      <c r="B23" s="7"/>
      <c r="C23" s="8"/>
      <c r="D23" s="7"/>
      <c r="E23" s="7"/>
      <c r="F23" s="7"/>
      <c r="G23" s="7"/>
      <c r="H23" s="7"/>
    </row>
    <row r="24" spans="1:8">
      <c r="A24" s="62" t="s">
        <v>152</v>
      </c>
      <c r="B24" s="63"/>
      <c r="C24" s="62"/>
      <c r="D24" s="63"/>
      <c r="E24" s="63"/>
      <c r="F24" s="63"/>
      <c r="G24" s="63"/>
      <c r="H24" s="63"/>
    </row>
    <row r="25" spans="1:8">
      <c r="A25" s="8" t="s">
        <v>153</v>
      </c>
      <c r="B25" s="18" t="str">
        <f>_xlfn.XLOOKUP($B$2,OTMaestraTable[Número OT],OTMaestraTable[Fecha inicio producción],"")</f>
        <v/>
      </c>
      <c r="C25" s="8" t="s">
        <v>154</v>
      </c>
      <c r="D25" s="60" t="str">
        <f>_xlfn.XLOOKUP($B$2,OTMaestraTable[Número OT],OTMaestraTable[Fecha fin producción],"")</f>
        <v/>
      </c>
      <c r="E25" s="60"/>
      <c r="F25" s="60"/>
      <c r="G25" s="60"/>
      <c r="H25" s="60"/>
    </row>
    <row r="26" spans="1:8">
      <c r="A26" s="8" t="s">
        <v>131</v>
      </c>
      <c r="B26" s="17" t="str">
        <f>_xlfn.XLOOKUP($B$2,OTMaestraTable[Número OT],OTMaestraTable[Cantidad producida],"")</f>
        <v/>
      </c>
      <c r="C26" s="8" t="s">
        <v>132</v>
      </c>
      <c r="D26" s="61" t="str">
        <f>_xlfn.XLOOKUP($B$2,OTMaestraTable[Número OT],OTMaestraTable[Entrega Parcial],"")</f>
        <v/>
      </c>
      <c r="E26" s="61"/>
      <c r="F26" s="61"/>
      <c r="G26" s="61"/>
      <c r="H26" s="61"/>
    </row>
    <row r="27" spans="1:8">
      <c r="A27" s="8" t="s">
        <v>155</v>
      </c>
      <c r="B27" s="17" t="str">
        <f>_xlfn.XLOOKUP($B$2,OTMaestraTable[Número OT],OTMaestraTable[Control calidad],"")</f>
        <v/>
      </c>
      <c r="C27" s="8" t="s">
        <v>135</v>
      </c>
      <c r="D27" s="61" t="str">
        <f>_xlfn.XLOOKUP($B$2,OTMaestraTable[Número OT],OTMaestraTable[Fecha entrega],"")</f>
        <v/>
      </c>
      <c r="E27" s="61"/>
      <c r="F27" s="61"/>
      <c r="G27" s="61"/>
      <c r="H27" s="61"/>
    </row>
    <row r="28" spans="1:8">
      <c r="A28" s="8" t="s">
        <v>136</v>
      </c>
      <c r="B28" s="17" t="str">
        <f>_xlfn.XLOOKUP($B$2,OTMaestraTable[Número OT],OTMaestraTable[Recibido por],"")</f>
        <v/>
      </c>
      <c r="C28" s="8" t="s">
        <v>139</v>
      </c>
      <c r="D28" s="61" t="str">
        <f>_xlfn.XLOOKUP($B$2,OTMaestraTable[Número OT],OTMaestraTable[SLA cumplido],"")</f>
        <v/>
      </c>
      <c r="E28" s="61"/>
      <c r="F28" s="61"/>
      <c r="G28" s="61"/>
      <c r="H28" s="61"/>
    </row>
  </sheetData>
  <mergeCells count="19">
    <mergeCell ref="D27:H27"/>
    <mergeCell ref="D28:H28"/>
    <mergeCell ref="A1:H1"/>
    <mergeCell ref="A4:H4"/>
    <mergeCell ref="A12:H12"/>
    <mergeCell ref="A18:H18"/>
    <mergeCell ref="A24:H24"/>
    <mergeCell ref="D5:H5"/>
    <mergeCell ref="D6:H6"/>
    <mergeCell ref="D7:H7"/>
    <mergeCell ref="D8:H8"/>
    <mergeCell ref="D9:H9"/>
    <mergeCell ref="D15:H15"/>
    <mergeCell ref="D14:H14"/>
    <mergeCell ref="D19:H19"/>
    <mergeCell ref="D20:H20"/>
    <mergeCell ref="D21:H21"/>
    <mergeCell ref="D25:H25"/>
    <mergeCell ref="D26:H26"/>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xr:uid="{00000000-0002-0000-0400-000000000000}">
          <x14:formula1>
            <xm:f>'03_OT_Maestra'!$A$4:$A$203</xm:f>
          </x14:formula1>
          <xm:sqref>B2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6"/>
  <sheetViews>
    <sheetView topLeftCell="C1" workbookViewId="0">
      <selection activeCell="H11" sqref="H11"/>
    </sheetView>
  </sheetViews>
  <sheetFormatPr defaultRowHeight="14"/>
  <cols>
    <col min="1" max="1" width="19.5" customWidth="1"/>
    <col min="2" max="2" width="25.1640625" customWidth="1"/>
    <col min="3" max="3" width="10.25" customWidth="1"/>
    <col min="4" max="4" width="15.1640625" customWidth="1"/>
    <col min="5" max="5" width="15.58203125" customWidth="1"/>
    <col min="6" max="6" width="20.1640625" customWidth="1"/>
    <col min="7" max="7" width="23.1640625" customWidth="1"/>
    <col min="8" max="8" width="9.58203125" customWidth="1"/>
    <col min="9" max="9" width="16.1640625" customWidth="1"/>
    <col min="10" max="10" width="11.6640625" customWidth="1"/>
    <col min="11" max="11" width="7.25" customWidth="1"/>
    <col min="12" max="13" width="15.58203125" customWidth="1"/>
    <col min="14" max="14" width="18.83203125" customWidth="1"/>
    <col min="16" max="16" width="12.4140625" customWidth="1"/>
    <col min="17" max="17" width="36.08203125" customWidth="1"/>
  </cols>
  <sheetData>
    <row r="1" spans="1:53" ht="28">
      <c r="A1" s="1" t="s">
        <v>156</v>
      </c>
      <c r="B1" s="1" t="s">
        <v>157</v>
      </c>
      <c r="C1" s="1" t="s">
        <v>105</v>
      </c>
      <c r="D1" s="1" t="s">
        <v>117</v>
      </c>
      <c r="E1" s="1" t="s">
        <v>118</v>
      </c>
      <c r="F1" s="1" t="s">
        <v>119</v>
      </c>
      <c r="G1" s="1" t="s">
        <v>158</v>
      </c>
      <c r="H1" s="1" t="s">
        <v>148</v>
      </c>
      <c r="I1" s="1" t="s">
        <v>149</v>
      </c>
      <c r="J1" s="1" t="s">
        <v>159</v>
      </c>
      <c r="K1" s="1" t="s">
        <v>160</v>
      </c>
      <c r="L1" s="1" t="s">
        <v>161</v>
      </c>
      <c r="M1" s="1" t="s">
        <v>133</v>
      </c>
      <c r="N1" s="1" t="s">
        <v>162</v>
      </c>
      <c r="O1" s="2"/>
      <c r="P1" s="1" t="s">
        <v>163</v>
      </c>
      <c r="Q1" s="1" t="s">
        <v>164</v>
      </c>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spans="1:53">
      <c r="A2" t="s">
        <v>165</v>
      </c>
      <c r="B2" t="s">
        <v>166</v>
      </c>
      <c r="C2" t="s">
        <v>167</v>
      </c>
      <c r="D2" t="s">
        <v>168</v>
      </c>
      <c r="E2" t="s">
        <v>169</v>
      </c>
      <c r="F2" t="s">
        <v>24</v>
      </c>
      <c r="G2" t="s">
        <v>170</v>
      </c>
      <c r="H2" t="s">
        <v>171</v>
      </c>
      <c r="I2" t="s">
        <v>172</v>
      </c>
      <c r="J2" t="s">
        <v>173</v>
      </c>
      <c r="K2" t="s">
        <v>174</v>
      </c>
      <c r="L2" t="s">
        <v>114</v>
      </c>
      <c r="M2" t="s">
        <v>174</v>
      </c>
      <c r="N2" t="s">
        <v>174</v>
      </c>
      <c r="P2" t="s">
        <v>175</v>
      </c>
      <c r="Q2" t="s">
        <v>176</v>
      </c>
    </row>
    <row r="3" spans="1:53">
      <c r="A3" t="s">
        <v>177</v>
      </c>
      <c r="B3" t="s">
        <v>178</v>
      </c>
      <c r="C3" t="s">
        <v>113</v>
      </c>
      <c r="D3" t="s">
        <v>179</v>
      </c>
      <c r="E3" t="s">
        <v>180</v>
      </c>
      <c r="F3" t="s">
        <v>181</v>
      </c>
      <c r="G3" t="s">
        <v>182</v>
      </c>
      <c r="H3" t="s">
        <v>358</v>
      </c>
      <c r="I3" t="s">
        <v>184</v>
      </c>
      <c r="J3" t="s">
        <v>185</v>
      </c>
      <c r="K3" t="s">
        <v>186</v>
      </c>
      <c r="L3" t="s">
        <v>187</v>
      </c>
      <c r="M3" t="s">
        <v>186</v>
      </c>
      <c r="N3" t="s">
        <v>186</v>
      </c>
      <c r="P3" t="s">
        <v>188</v>
      </c>
      <c r="Q3">
        <v>2026</v>
      </c>
    </row>
    <row r="4" spans="1:53">
      <c r="A4" t="s">
        <v>189</v>
      </c>
      <c r="B4" t="s">
        <v>190</v>
      </c>
      <c r="C4" t="s">
        <v>191</v>
      </c>
      <c r="D4" t="s">
        <v>192</v>
      </c>
      <c r="E4" t="s">
        <v>169</v>
      </c>
      <c r="F4" t="s">
        <v>193</v>
      </c>
      <c r="G4" t="s">
        <v>194</v>
      </c>
      <c r="H4" t="s">
        <v>359</v>
      </c>
      <c r="I4" t="s">
        <v>196</v>
      </c>
      <c r="J4" t="s">
        <v>197</v>
      </c>
      <c r="L4" t="s">
        <v>198</v>
      </c>
      <c r="M4" t="s">
        <v>291</v>
      </c>
      <c r="P4" t="s">
        <v>199</v>
      </c>
      <c r="Q4" t="s">
        <v>200</v>
      </c>
    </row>
    <row r="5" spans="1:53">
      <c r="A5" t="s">
        <v>201</v>
      </c>
      <c r="B5" t="s">
        <v>202</v>
      </c>
      <c r="D5" t="s">
        <v>203</v>
      </c>
      <c r="G5" t="s">
        <v>204</v>
      </c>
      <c r="H5" t="s">
        <v>360</v>
      </c>
      <c r="I5" t="s">
        <v>206</v>
      </c>
      <c r="J5" t="s">
        <v>207</v>
      </c>
      <c r="L5" t="s">
        <v>208</v>
      </c>
      <c r="P5" t="s">
        <v>209</v>
      </c>
      <c r="Q5" t="s">
        <v>210</v>
      </c>
    </row>
    <row r="6" spans="1:53">
      <c r="A6" t="s">
        <v>211</v>
      </c>
      <c r="B6" t="s">
        <v>212</v>
      </c>
      <c r="D6" t="s">
        <v>213</v>
      </c>
      <c r="G6" t="s">
        <v>214</v>
      </c>
      <c r="H6" t="s">
        <v>195</v>
      </c>
      <c r="I6" t="s">
        <v>216</v>
      </c>
      <c r="L6" t="s">
        <v>217</v>
      </c>
    </row>
    <row r="7" spans="1:53">
      <c r="A7" t="s">
        <v>218</v>
      </c>
      <c r="B7" t="s">
        <v>219</v>
      </c>
      <c r="D7" t="s">
        <v>220</v>
      </c>
      <c r="G7" t="s">
        <v>221</v>
      </c>
      <c r="H7" t="s">
        <v>205</v>
      </c>
      <c r="I7" t="s">
        <v>223</v>
      </c>
      <c r="L7" t="s">
        <v>224</v>
      </c>
    </row>
    <row r="8" spans="1:53">
      <c r="A8" t="s">
        <v>225</v>
      </c>
      <c r="B8" t="s">
        <v>226</v>
      </c>
      <c r="D8" t="s">
        <v>227</v>
      </c>
      <c r="G8" t="s">
        <v>228</v>
      </c>
      <c r="H8" t="s">
        <v>215</v>
      </c>
      <c r="I8" t="s">
        <v>229</v>
      </c>
      <c r="L8" t="s">
        <v>227</v>
      </c>
    </row>
    <row r="9" spans="1:53">
      <c r="A9" t="s">
        <v>193</v>
      </c>
      <c r="B9" t="s">
        <v>230</v>
      </c>
      <c r="D9" t="s">
        <v>231</v>
      </c>
      <c r="G9" t="s">
        <v>232</v>
      </c>
      <c r="H9" t="s">
        <v>222</v>
      </c>
      <c r="I9" t="s">
        <v>233</v>
      </c>
    </row>
    <row r="10" spans="1:53">
      <c r="A10" t="s">
        <v>234</v>
      </c>
      <c r="B10" t="s">
        <v>65</v>
      </c>
      <c r="D10" t="s">
        <v>235</v>
      </c>
      <c r="G10" t="s">
        <v>236</v>
      </c>
      <c r="I10" t="s">
        <v>269</v>
      </c>
    </row>
    <row r="11" spans="1:53">
      <c r="A11" t="s">
        <v>237</v>
      </c>
      <c r="B11" t="s">
        <v>68</v>
      </c>
      <c r="G11" t="s">
        <v>222</v>
      </c>
      <c r="I11" t="s">
        <v>222</v>
      </c>
    </row>
    <row r="12" spans="1:53">
      <c r="A12" t="s">
        <v>238</v>
      </c>
      <c r="B12" t="s">
        <v>73</v>
      </c>
    </row>
    <row r="13" spans="1:53">
      <c r="B13" t="s">
        <v>81</v>
      </c>
    </row>
    <row r="14" spans="1:53">
      <c r="B14" t="s">
        <v>87</v>
      </c>
    </row>
    <row r="15" spans="1:53">
      <c r="B15" t="s">
        <v>89</v>
      </c>
    </row>
    <row r="16" spans="1:53">
      <c r="B16" t="s">
        <v>92</v>
      </c>
    </row>
  </sheetData>
  <phoneticPr fontId="1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1"/>
  <sheetViews>
    <sheetView workbookViewId="0">
      <selection activeCell="D17" sqref="D17"/>
    </sheetView>
  </sheetViews>
  <sheetFormatPr defaultRowHeight="14"/>
  <cols>
    <col min="1" max="1" width="18.4140625" bestFit="1" customWidth="1"/>
    <col min="2" max="2" width="5.83203125" customWidth="1"/>
    <col min="4" max="4" width="17" bestFit="1" customWidth="1"/>
    <col min="5" max="5" width="9.6640625" customWidth="1"/>
  </cols>
  <sheetData>
    <row r="1" spans="1:52" ht="15">
      <c r="A1" s="49" t="s">
        <v>239</v>
      </c>
      <c r="B1" s="50"/>
      <c r="C1" s="50"/>
      <c r="D1" s="50"/>
      <c r="E1" s="50"/>
      <c r="F1" s="50"/>
      <c r="G1" s="50"/>
      <c r="H1" s="50"/>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3" spans="1:52">
      <c r="A3" s="1" t="s">
        <v>240</v>
      </c>
      <c r="B3" s="1" t="s">
        <v>164</v>
      </c>
      <c r="D3" s="1" t="s">
        <v>117</v>
      </c>
      <c r="E3" s="1" t="s">
        <v>102</v>
      </c>
    </row>
    <row r="4" spans="1:52">
      <c r="A4" s="2" t="s">
        <v>241</v>
      </c>
      <c r="B4" s="2">
        <f>COUNTIF('02_Base_Solicitudes'!A2:A201,"&gt;0")</f>
        <v>28</v>
      </c>
      <c r="D4" t="s">
        <v>168</v>
      </c>
      <c r="E4">
        <f>COUNTIFS('03_OT_Maestra'!$A$4:$A$203,"OT-UM-*",'03_OT_Maestra'!$AH$4:$AH$203,D4)</f>
        <v>1</v>
      </c>
    </row>
    <row r="5" spans="1:52">
      <c r="A5" s="2" t="s">
        <v>242</v>
      </c>
      <c r="B5" s="2">
        <f>COUNTIF('02_Base_Solicitudes'!O2:P201,"Completa")</f>
        <v>28</v>
      </c>
      <c r="D5" t="s">
        <v>179</v>
      </c>
      <c r="E5">
        <f>COUNTIFS('03_OT_Maestra'!$A$4:$A$203,"OT-UM-*",'03_OT_Maestra'!$AH$4:$AH$203,D5)</f>
        <v>3</v>
      </c>
    </row>
    <row r="6" spans="1:52">
      <c r="A6" s="2" t="s">
        <v>243</v>
      </c>
      <c r="B6" s="2">
        <f>COUNTIF('03_OT_Maestra'!A4:A203,"OT-UM-*")</f>
        <v>28</v>
      </c>
      <c r="D6" t="s">
        <v>192</v>
      </c>
      <c r="E6">
        <f>COUNTIFS('03_OT_Maestra'!$A$4:$A$203,"OT-UM-*",'03_OT_Maestra'!$AH$4:$AH$203,D6)</f>
        <v>2</v>
      </c>
    </row>
    <row r="7" spans="1:52">
      <c r="A7" s="2" t="s">
        <v>244</v>
      </c>
      <c r="B7" s="2">
        <f>COUNTIF('03_OT_Maestra'!AH4:AH203,"Cerrada")</f>
        <v>20</v>
      </c>
      <c r="D7" t="s">
        <v>203</v>
      </c>
      <c r="E7">
        <f>COUNTIFS('03_OT_Maestra'!$A$4:$A$203,"OT-UM-*",'03_OT_Maestra'!$AH$4:$AH$203,D7)</f>
        <v>2</v>
      </c>
    </row>
    <row r="8" spans="1:52">
      <c r="A8" s="2" t="s">
        <v>245</v>
      </c>
      <c r="B8" s="2">
        <f>COUNTIF('02_Base_Solicitudes'!Q2:R201,"Riesgo SLA")</f>
        <v>1</v>
      </c>
      <c r="D8" t="s">
        <v>213</v>
      </c>
      <c r="E8">
        <f>COUNTIFS('03_OT_Maestra'!$A$4:$A$203,"OT-UM-*",'03_OT_Maestra'!$AH$4:$AH$203,D8)</f>
        <v>0</v>
      </c>
    </row>
    <row r="9" spans="1:52">
      <c r="A9" s="2" t="s">
        <v>139</v>
      </c>
      <c r="B9" s="2">
        <f>COUNTIF('03_OT_Maestra'!AJ4:AJ203,"Sí")</f>
        <v>19</v>
      </c>
      <c r="D9" t="s">
        <v>220</v>
      </c>
      <c r="E9">
        <f>COUNTIFS('03_OT_Maestra'!$A$4:$A$203,"OT-UM-*",'03_OT_Maestra'!$AH$4:$AH$203,D9)</f>
        <v>20</v>
      </c>
    </row>
    <row r="10" spans="1:52">
      <c r="A10" s="2" t="s">
        <v>246</v>
      </c>
      <c r="B10" s="2">
        <f>SUM('03_OT_Maestra'!AB4:AB203)</f>
        <v>3300</v>
      </c>
      <c r="D10" t="s">
        <v>231</v>
      </c>
      <c r="E10">
        <f>COUNTIFS('03_OT_Maestra'!$A$4:$A$203,"OT-UM-*",'03_OT_Maestra'!$AH$4:$AH$203,D10)</f>
        <v>0</v>
      </c>
    </row>
    <row r="11" spans="1:52">
      <c r="D11" t="s">
        <v>235</v>
      </c>
      <c r="E11">
        <f>COUNTIFS('03_OT_Maestra'!$A$4:$A$203,"OT-UM-*",'03_OT_Maestra'!$AH$4:$AH$203,D11)</f>
        <v>0</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00_Instrucciones</vt:lpstr>
      <vt:lpstr>01_Forms_Raw</vt:lpstr>
      <vt:lpstr>02_Base_Solicitudes</vt:lpstr>
      <vt:lpstr>03_OT_Maestra</vt:lpstr>
      <vt:lpstr>04_OT_Print001</vt:lpstr>
      <vt:lpstr>05_Catalogos</vt:lpstr>
      <vt:lpstr>06_Dashboard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ramirez</dc:creator>
  <cp:lastModifiedBy>julian ramirez</cp:lastModifiedBy>
  <dcterms:created xsi:type="dcterms:W3CDTF">2026-05-25T16:31:55Z</dcterms:created>
  <dcterms:modified xsi:type="dcterms:W3CDTF">2026-10-13T21:51:17Z</dcterms:modified>
</cp:coreProperties>
</file>